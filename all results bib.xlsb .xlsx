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026"/>
  <workbookPr filterPrivacy="1" defaultThemeVersion="202300"/>
  <xr:revisionPtr revIDLastSave="0" documentId="13_ncr:1_{A480508F-5607-4A3E-ACBE-95CBD1F52B7B}" xr6:coauthVersionLast="47" xr6:coauthVersionMax="47" xr10:uidLastSave="{00000000-0000-0000-0000-000000000000}"/>
  <bookViews>
    <workbookView xWindow="-120" yWindow="-120" windowWidth="29040" windowHeight="15720" tabRatio="593" xr2:uid="{1C5F2B2A-A439-4F2D-8229-25EED1D7636D}"/>
  </bookViews>
  <sheets>
    <sheet name="Sheet2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52" i="2" l="1"/>
  <c r="P54" i="2"/>
  <c r="J22" i="2"/>
  <c r="K22" i="2"/>
  <c r="L22" i="2"/>
  <c r="M22" i="2"/>
  <c r="J23" i="2"/>
  <c r="K23" i="2"/>
  <c r="L23" i="2"/>
  <c r="M23" i="2"/>
  <c r="J24" i="2"/>
  <c r="K24" i="2"/>
  <c r="L24" i="2"/>
  <c r="M24" i="2"/>
  <c r="J25" i="2"/>
  <c r="K25" i="2"/>
  <c r="L25" i="2"/>
  <c r="M25" i="2"/>
  <c r="J26" i="2"/>
  <c r="K26" i="2"/>
  <c r="L26" i="2"/>
  <c r="M26" i="2"/>
  <c r="J27" i="2"/>
  <c r="K27" i="2"/>
  <c r="L27" i="2"/>
  <c r="M27" i="2"/>
  <c r="J28" i="2"/>
  <c r="K28" i="2"/>
  <c r="L28" i="2"/>
  <c r="M28" i="2"/>
  <c r="J29" i="2"/>
  <c r="K29" i="2"/>
  <c r="L29" i="2"/>
  <c r="M29" i="2"/>
  <c r="J30" i="2"/>
  <c r="K30" i="2"/>
  <c r="L30" i="2"/>
  <c r="M30" i="2"/>
  <c r="J31" i="2"/>
  <c r="K31" i="2"/>
  <c r="L31" i="2"/>
  <c r="M31" i="2"/>
  <c r="V5" i="2"/>
  <c r="V6" i="2"/>
  <c r="V7" i="2"/>
  <c r="V8" i="2"/>
  <c r="V9" i="2"/>
  <c r="V10" i="2"/>
  <c r="V11" i="2"/>
  <c r="V12" i="2"/>
  <c r="V13" i="2"/>
  <c r="V4" i="2"/>
  <c r="O53" i="2"/>
  <c r="O57" i="2"/>
  <c r="O61" i="2"/>
  <c r="N55" i="2"/>
  <c r="N59" i="2"/>
  <c r="M53" i="2"/>
  <c r="M57" i="2"/>
  <c r="M61" i="2"/>
  <c r="G62" i="2"/>
  <c r="P56" i="2" s="1"/>
  <c r="F62" i="2"/>
  <c r="O54" i="2" s="1"/>
  <c r="E62" i="2"/>
  <c r="N56" i="2" s="1"/>
  <c r="D62" i="2"/>
  <c r="M54" i="2" s="1"/>
  <c r="C62" i="2"/>
  <c r="L56" i="2" s="1"/>
  <c r="B62" i="2"/>
  <c r="K54" i="2" s="1"/>
  <c r="N38" i="2"/>
  <c r="N39" i="2"/>
  <c r="N40" i="2"/>
  <c r="N41" i="2"/>
  <c r="N42" i="2"/>
  <c r="N43" i="2"/>
  <c r="N44" i="2"/>
  <c r="N45" i="2"/>
  <c r="N46" i="2"/>
  <c r="N37" i="2"/>
  <c r="L38" i="2"/>
  <c r="L39" i="2"/>
  <c r="L40" i="2"/>
  <c r="L41" i="2"/>
  <c r="L42" i="2"/>
  <c r="L43" i="2"/>
  <c r="L44" i="2"/>
  <c r="L45" i="2"/>
  <c r="L46" i="2"/>
  <c r="L37" i="2"/>
  <c r="K38" i="2"/>
  <c r="K39" i="2"/>
  <c r="K40" i="2"/>
  <c r="K41" i="2"/>
  <c r="K42" i="2"/>
  <c r="K43" i="2"/>
  <c r="K44" i="2"/>
  <c r="K45" i="2"/>
  <c r="K46" i="2"/>
  <c r="K37" i="2"/>
  <c r="J38" i="2"/>
  <c r="J39" i="2"/>
  <c r="J40" i="2"/>
  <c r="J41" i="2"/>
  <c r="J42" i="2"/>
  <c r="J43" i="2"/>
  <c r="J44" i="2"/>
  <c r="J45" i="2"/>
  <c r="J46" i="2"/>
  <c r="J37" i="2"/>
  <c r="G47" i="2"/>
  <c r="F47" i="2"/>
  <c r="E47" i="2"/>
  <c r="M41" i="2" s="1"/>
  <c r="O41" i="2" s="1"/>
  <c r="D47" i="2"/>
  <c r="C47" i="2"/>
  <c r="B47" i="2"/>
  <c r="G38" i="2"/>
  <c r="G39" i="2"/>
  <c r="G40" i="2"/>
  <c r="G41" i="2"/>
  <c r="G42" i="2"/>
  <c r="G43" i="2"/>
  <c r="G44" i="2"/>
  <c r="G45" i="2"/>
  <c r="G46" i="2"/>
  <c r="G37" i="2"/>
  <c r="G32" i="2"/>
  <c r="G23" i="2"/>
  <c r="G24" i="2"/>
  <c r="G25" i="2"/>
  <c r="G26" i="2"/>
  <c r="G27" i="2"/>
  <c r="G28" i="2"/>
  <c r="G29" i="2"/>
  <c r="G30" i="2"/>
  <c r="G31" i="2"/>
  <c r="G22" i="2"/>
  <c r="F32" i="2"/>
  <c r="F23" i="2"/>
  <c r="F24" i="2"/>
  <c r="F25" i="2"/>
  <c r="F26" i="2"/>
  <c r="F27" i="2"/>
  <c r="F28" i="2"/>
  <c r="F29" i="2"/>
  <c r="F30" i="2"/>
  <c r="F31" i="2"/>
  <c r="F22" i="2"/>
  <c r="E32" i="2"/>
  <c r="D32" i="2"/>
  <c r="C32" i="2"/>
  <c r="B32" i="2"/>
  <c r="U5" i="2"/>
  <c r="U6" i="2"/>
  <c r="U7" i="2"/>
  <c r="U8" i="2"/>
  <c r="U9" i="2"/>
  <c r="U10" i="2"/>
  <c r="U11" i="2"/>
  <c r="U12" i="2"/>
  <c r="U13" i="2"/>
  <c r="U4" i="2"/>
  <c r="T7" i="2"/>
  <c r="T8" i="2"/>
  <c r="T11" i="2"/>
  <c r="T12" i="2"/>
  <c r="S6" i="2"/>
  <c r="S10" i="2"/>
  <c r="S4" i="2"/>
  <c r="Q5" i="2"/>
  <c r="Q6" i="2"/>
  <c r="Q9" i="2"/>
  <c r="Q10" i="2"/>
  <c r="Q13" i="2"/>
  <c r="Q4" i="2"/>
  <c r="P7" i="2"/>
  <c r="P8" i="2"/>
  <c r="P11" i="2"/>
  <c r="P12" i="2"/>
  <c r="O6" i="2"/>
  <c r="O10" i="2"/>
  <c r="O4" i="2"/>
  <c r="M5" i="2"/>
  <c r="M6" i="2"/>
  <c r="M9" i="2"/>
  <c r="M10" i="2"/>
  <c r="M13" i="2"/>
  <c r="M4" i="2"/>
  <c r="J14" i="2"/>
  <c r="I14" i="2"/>
  <c r="T5" i="2" s="1"/>
  <c r="H14" i="2"/>
  <c r="S7" i="2" s="1"/>
  <c r="G14" i="2"/>
  <c r="R5" i="2" s="1"/>
  <c r="F14" i="2"/>
  <c r="Q7" i="2" s="1"/>
  <c r="E14" i="2"/>
  <c r="P5" i="2" s="1"/>
  <c r="D14" i="2"/>
  <c r="O7" i="2" s="1"/>
  <c r="B14" i="2"/>
  <c r="M7" i="2" s="1"/>
  <c r="C13" i="2"/>
  <c r="C12" i="2"/>
  <c r="C11" i="2"/>
  <c r="C10" i="2"/>
  <c r="C9" i="2"/>
  <c r="C8" i="2"/>
  <c r="C7" i="2"/>
  <c r="C6" i="2"/>
  <c r="C5" i="2"/>
  <c r="C4" i="2"/>
  <c r="M44" i="2" l="1"/>
  <c r="O44" i="2" s="1"/>
  <c r="M40" i="2"/>
  <c r="O40" i="2" s="1"/>
  <c r="M37" i="2"/>
  <c r="O37" i="2" s="1"/>
  <c r="M43" i="2"/>
  <c r="O43" i="2" s="1"/>
  <c r="M39" i="2"/>
  <c r="O39" i="2" s="1"/>
  <c r="M46" i="2"/>
  <c r="O46" i="2" s="1"/>
  <c r="M42" i="2"/>
  <c r="O42" i="2" s="1"/>
  <c r="M38" i="2"/>
  <c r="O38" i="2" s="1"/>
  <c r="M45" i="2"/>
  <c r="O45" i="2" s="1"/>
  <c r="P59" i="2"/>
  <c r="P55" i="2"/>
  <c r="L59" i="2"/>
  <c r="M60" i="2"/>
  <c r="M56" i="2"/>
  <c r="N52" i="2"/>
  <c r="N58" i="2"/>
  <c r="N54" i="2"/>
  <c r="O60" i="2"/>
  <c r="O56" i="2"/>
  <c r="P58" i="2"/>
  <c r="L57" i="2"/>
  <c r="M59" i="2"/>
  <c r="M55" i="2"/>
  <c r="N61" i="2"/>
  <c r="N57" i="2"/>
  <c r="N53" i="2"/>
  <c r="O59" i="2"/>
  <c r="O55" i="2"/>
  <c r="P61" i="2"/>
  <c r="P57" i="2"/>
  <c r="P53" i="2"/>
  <c r="M52" i="2"/>
  <c r="M58" i="2"/>
  <c r="N60" i="2"/>
  <c r="O52" i="2"/>
  <c r="O58" i="2"/>
  <c r="P60" i="2"/>
  <c r="K53" i="2"/>
  <c r="K61" i="2"/>
  <c r="K57" i="2"/>
  <c r="L55" i="2"/>
  <c r="L61" i="2"/>
  <c r="L52" i="2"/>
  <c r="L58" i="2"/>
  <c r="L54" i="2"/>
  <c r="L53" i="2"/>
  <c r="L60" i="2"/>
  <c r="K60" i="2"/>
  <c r="K56" i="2"/>
  <c r="Q56" i="2" s="1"/>
  <c r="K59" i="2"/>
  <c r="K55" i="2"/>
  <c r="Q55" i="2" s="1"/>
  <c r="K52" i="2"/>
  <c r="K58" i="2"/>
  <c r="N5" i="2"/>
  <c r="N6" i="2"/>
  <c r="N10" i="2"/>
  <c r="C14" i="2"/>
  <c r="N11" i="2" s="1"/>
  <c r="R12" i="2"/>
  <c r="O9" i="2"/>
  <c r="R11" i="2"/>
  <c r="S13" i="2"/>
  <c r="S9" i="2"/>
  <c r="S5" i="2"/>
  <c r="M12" i="2"/>
  <c r="M8" i="2"/>
  <c r="O12" i="2"/>
  <c r="O8" i="2"/>
  <c r="P4" i="2"/>
  <c r="P10" i="2"/>
  <c r="P6" i="2"/>
  <c r="Q12" i="2"/>
  <c r="Q8" i="2"/>
  <c r="R4" i="2"/>
  <c r="R10" i="2"/>
  <c r="R6" i="2"/>
  <c r="S12" i="2"/>
  <c r="S8" i="2"/>
  <c r="T4" i="2"/>
  <c r="T10" i="2"/>
  <c r="T6" i="2"/>
  <c r="R8" i="2"/>
  <c r="O13" i="2"/>
  <c r="O5" i="2"/>
  <c r="R7" i="2"/>
  <c r="M11" i="2"/>
  <c r="O11" i="2"/>
  <c r="P13" i="2"/>
  <c r="P9" i="2"/>
  <c r="Q11" i="2"/>
  <c r="R13" i="2"/>
  <c r="R9" i="2"/>
  <c r="S11" i="2"/>
  <c r="T13" i="2"/>
  <c r="T9" i="2"/>
  <c r="Q53" i="2" l="1"/>
  <c r="Q59" i="2"/>
  <c r="Q54" i="2"/>
  <c r="Q57" i="2"/>
  <c r="Q61" i="2"/>
  <c r="Q52" i="2"/>
  <c r="Q58" i="2"/>
  <c r="Q60" i="2"/>
  <c r="N4" i="2"/>
  <c r="N13" i="2"/>
  <c r="N12" i="2"/>
  <c r="N8" i="2"/>
  <c r="N9" i="2"/>
  <c r="N7" i="2"/>
  <c r="N23" i="2"/>
  <c r="N26" i="2"/>
  <c r="N25" i="2"/>
  <c r="N27" i="2"/>
  <c r="N29" i="2"/>
  <c r="N28" i="2"/>
  <c r="N30" i="2"/>
  <c r="N24" i="2"/>
  <c r="N31" i="2"/>
  <c r="N22" i="2"/>
</calcChain>
</file>

<file path=xl/sharedStrings.xml><?xml version="1.0" encoding="utf-8"?>
<sst xmlns="http://schemas.openxmlformats.org/spreadsheetml/2006/main" count="156" uniqueCount="95">
  <si>
    <t>countries</t>
  </si>
  <si>
    <t>name</t>
  </si>
  <si>
    <t>total articles</t>
  </si>
  <si>
    <t>% articles</t>
  </si>
  <si>
    <t>Total citation</t>
  </si>
  <si>
    <t>productivity</t>
  </si>
  <si>
    <t>institutions</t>
  </si>
  <si>
    <t xml:space="preserve">Author </t>
  </si>
  <si>
    <t>Hot Article</t>
  </si>
  <si>
    <t>number</t>
  </si>
  <si>
    <t>citations</t>
  </si>
  <si>
    <t>China</t>
  </si>
  <si>
    <t>USA</t>
  </si>
  <si>
    <t>UK</t>
  </si>
  <si>
    <t>Germany</t>
  </si>
  <si>
    <t>Italy</t>
  </si>
  <si>
    <t>India</t>
  </si>
  <si>
    <t>Canada</t>
  </si>
  <si>
    <t>Sweden</t>
  </si>
  <si>
    <t>Australia</t>
  </si>
  <si>
    <t>Spain</t>
  </si>
  <si>
    <t>quality h- index</t>
  </si>
  <si>
    <t>number_of_articles</t>
  </si>
  <si>
    <t>total_citations</t>
  </si>
  <si>
    <t>h_index</t>
  </si>
  <si>
    <t>hot_articles</t>
  </si>
  <si>
    <t>institutes</t>
  </si>
  <si>
    <t>paper%</t>
  </si>
  <si>
    <t>citation%</t>
  </si>
  <si>
    <t>articles</t>
  </si>
  <si>
    <t>h-index</t>
  </si>
  <si>
    <t>hot articles</t>
  </si>
  <si>
    <t>JournalAbbr</t>
  </si>
  <si>
    <t>Published_Papers</t>
  </si>
  <si>
    <t>Citations</t>
  </si>
  <si>
    <t>Hot_Articles</t>
  </si>
  <si>
    <t>H_Index</t>
  </si>
  <si>
    <t>IF</t>
  </si>
  <si>
    <t>percentage</t>
  </si>
  <si>
    <t>author</t>
  </si>
  <si>
    <t>article_numbers</t>
  </si>
  <si>
    <t>citation_numbers</t>
  </si>
  <si>
    <t>times_as_first_author</t>
  </si>
  <si>
    <t>citation without self</t>
  </si>
  <si>
    <t>Axsen, J</t>
  </si>
  <si>
    <t>Shi, XM</t>
  </si>
  <si>
    <t>Zhao, S</t>
  </si>
  <si>
    <t>Suarez-Bertoa, R</t>
  </si>
  <si>
    <t>Long, Z</t>
  </si>
  <si>
    <t>Ramachandra, TV</t>
  </si>
  <si>
    <t>Banister, D</t>
  </si>
  <si>
    <t>SROS </t>
  </si>
  <si>
    <t>European commission joint research centre</t>
  </si>
  <si>
    <t>University of california davis</t>
  </si>
  <si>
    <t>Simon fraser university</t>
  </si>
  <si>
    <t>Washington state university</t>
  </si>
  <si>
    <t>University of oxford</t>
  </si>
  <si>
    <t>Beijing jiaotong university</t>
  </si>
  <si>
    <t>Changan university</t>
  </si>
  <si>
    <t>University of alaska fairbanks</t>
  </si>
  <si>
    <t>Lund university</t>
  </si>
  <si>
    <t>Royal institute of technology</t>
  </si>
  <si>
    <t>Sustainability</t>
  </si>
  <si>
    <t>Transportation Research Part D</t>
  </si>
  <si>
    <t>International Journal of Sustainable Transp</t>
  </si>
  <si>
    <t>Journal of Cleaner Production</t>
  </si>
  <si>
    <t>Transport Policy</t>
  </si>
  <si>
    <t>Sustainable Cities and Society</t>
  </si>
  <si>
    <t>Transportation Research Part A</t>
  </si>
  <si>
    <t>Energies</t>
  </si>
  <si>
    <t>Transportation Research Record</t>
  </si>
  <si>
    <t>Energy Policy</t>
  </si>
  <si>
    <t>Institution</t>
  </si>
  <si>
    <t>Name</t>
  </si>
  <si>
    <t>Int Journal of Sustainable Transp</t>
  </si>
  <si>
    <t>Author</t>
  </si>
  <si>
    <t>H-index</t>
  </si>
  <si>
    <t>Citation*</t>
  </si>
  <si>
    <t>Du, S</t>
  </si>
  <si>
    <t>Haselbach, L</t>
  </si>
  <si>
    <t>Setturu, B</t>
  </si>
  <si>
    <t>Eur comm joint research centre</t>
  </si>
  <si>
    <t>Citation</t>
  </si>
  <si>
    <t>Hot Articles</t>
  </si>
  <si>
    <t>Article</t>
  </si>
  <si>
    <t>First Author</t>
  </si>
  <si>
    <t>H-Index</t>
  </si>
  <si>
    <t xml:space="preserve"> Articles</t>
  </si>
  <si>
    <t>Articles</t>
  </si>
  <si>
    <t>% Articles</t>
  </si>
  <si>
    <t>Inst</t>
  </si>
  <si>
    <t>Articles*</t>
  </si>
  <si>
    <t>Citations*</t>
  </si>
  <si>
    <t>Inst*</t>
  </si>
  <si>
    <t>H- index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</si>
</sst>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(* #,##0.00_);_(* \(#,##0.00\);_(* &quot;-&quot;??_);_(@_)"/>
  </numFmts>
  <fonts count="3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theme="3" tint="0.749992370372631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6" tint="0.79998168889431442"/>
        <bgColor indexed="64"/>
      </patternFill>
    </fill>
  </fills>
  <borders count="5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/>
      <bottom style="medium">
        <color indexed="64"/>
      </bottom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17">
    <xf numFmtId="0" fontId="0" fillId="0" borderId="0" xfId="0"/>
    <xf numFmtId="0" fontId="0" fillId="2" borderId="0" xfId="0" applyFill="1"/>
    <xf numFmtId="0" fontId="0" fillId="2" borderId="1" xfId="0" applyFill="1" applyBorder="1"/>
    <xf numFmtId="0" fontId="0" fillId="3" borderId="2" xfId="0" applyFill="1" applyBorder="1"/>
    <xf numFmtId="164" fontId="0" fillId="3" borderId="2" xfId="1" applyFont="1" applyFill="1" applyBorder="1"/>
    <xf numFmtId="0" fontId="0" fillId="0" borderId="2" xfId="0" applyBorder="1"/>
    <xf numFmtId="164" fontId="0" fillId="0" borderId="2" xfId="0" applyNumberFormat="1" applyBorder="1"/>
    <xf numFmtId="164" fontId="0" fillId="0" borderId="0" xfId="1" applyFont="1"/>
    <xf numFmtId="0" fontId="0" fillId="4" borderId="2" xfId="0" applyFill="1" applyBorder="1"/>
    <xf numFmtId="164" fontId="0" fillId="4" borderId="2" xfId="1" applyFont="1" applyFill="1" applyBorder="1"/>
    <xf numFmtId="0" fontId="0" fillId="5" borderId="2" xfId="0" applyFill="1" applyBorder="1"/>
    <xf numFmtId="0" fontId="0" fillId="2" borderId="3" xfId="0" applyFill="1" applyBorder="1"/>
    <xf numFmtId="0" fontId="2" fillId="0" borderId="0" xfId="0" applyFont="1" applyAlignment="1">
      <alignment vertical="center" wrapText="1"/>
    </xf>
    <xf numFmtId="0" fontId="2" fillId="0" borderId="0" xfId="0" applyFont="1" applyAlignment="1">
      <alignment horizontal="center" vertical="center" wrapText="1"/>
    </xf>
    <xf numFmtId="0" fontId="2" fillId="0" borderId="4" xfId="0" applyFont="1" applyBorder="1" applyAlignment="1">
      <alignment vertical="center" wrapText="1"/>
    </xf>
    <xf numFmtId="0" fontId="2" fillId="0" borderId="4" xfId="0" applyFont="1" applyBorder="1" applyAlignment="1">
      <alignment horizontal="center" vertical="center" wrapText="1"/>
    </xf>
    <xf numFmtId="0" fontId="0" fillId="2" borderId="1" xfId="0" applyFill="1" applyBorder="1" applyAlignment="1">
      <alignment horizontal="center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2114177983449088"/>
          <c:y val="7.4814397254303985E-2"/>
          <c:w val="0.57813835294704474"/>
          <c:h val="0.85292010794390316"/>
        </c:manualLayout>
      </c:layout>
      <c:radarChart>
        <c:radarStyle val="marker"/>
        <c:varyColors val="0"/>
        <c:ser>
          <c:idx val="0"/>
          <c:order val="0"/>
          <c:tx>
            <c:strRef>
              <c:f>Sheet2!$L$4</c:f>
              <c:strCache>
                <c:ptCount val="1"/>
                <c:pt idx="0">
                  <c:v>China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Sheet2!$M$3:$U$3</c:f>
              <c:strCache>
                <c:ptCount val="9"/>
                <c:pt idx="0">
                  <c:v>Articles</c:v>
                </c:pt>
                <c:pt idx="1">
                  <c:v>% Articles</c:v>
                </c:pt>
                <c:pt idx="2">
                  <c:v>Citation</c:v>
                </c:pt>
                <c:pt idx="3">
                  <c:v>Author </c:v>
                </c:pt>
                <c:pt idx="4">
                  <c:v>Inst</c:v>
                </c:pt>
                <c:pt idx="5">
                  <c:v>Articles*</c:v>
                </c:pt>
                <c:pt idx="6">
                  <c:v>Citations*</c:v>
                </c:pt>
                <c:pt idx="7">
                  <c:v>Inst*</c:v>
                </c:pt>
                <c:pt idx="8">
                  <c:v>H- index</c:v>
                </c:pt>
              </c:strCache>
            </c:strRef>
          </c:cat>
          <c:val>
            <c:numRef>
              <c:f>Sheet2!$M$4:$U$4</c:f>
              <c:numCache>
                <c:formatCode>General</c:formatCode>
                <c:ptCount val="9"/>
                <c:pt idx="0">
                  <c:v>1</c:v>
                </c:pt>
                <c:pt idx="1">
                  <c:v>1</c:v>
                </c:pt>
                <c:pt idx="2">
                  <c:v>0.70416047548291238</c:v>
                </c:pt>
                <c:pt idx="3">
                  <c:v>1</c:v>
                </c:pt>
                <c:pt idx="4">
                  <c:v>1</c:v>
                </c:pt>
                <c:pt idx="5">
                  <c:v>0.48275862068965519</c:v>
                </c:pt>
                <c:pt idx="6">
                  <c:v>0.45982783357245338</c:v>
                </c:pt>
                <c:pt idx="7">
                  <c:v>0.61904761904761907</c:v>
                </c:pt>
                <c:pt idx="8">
                  <c:v>0.48275862068965519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238-4946-9D54-7FC09F12C35D}"/>
            </c:ext>
          </c:extLst>
        </c:ser>
        <c:ser>
          <c:idx val="1"/>
          <c:order val="1"/>
          <c:tx>
            <c:strRef>
              <c:f>Sheet2!$L$5</c:f>
              <c:strCache>
                <c:ptCount val="1"/>
                <c:pt idx="0">
                  <c:v>USA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Sheet2!$M$3:$U$3</c:f>
              <c:strCache>
                <c:ptCount val="9"/>
                <c:pt idx="0">
                  <c:v>Articles</c:v>
                </c:pt>
                <c:pt idx="1">
                  <c:v>% Articles</c:v>
                </c:pt>
                <c:pt idx="2">
                  <c:v>Citation</c:v>
                </c:pt>
                <c:pt idx="3">
                  <c:v>Author </c:v>
                </c:pt>
                <c:pt idx="4">
                  <c:v>Inst</c:v>
                </c:pt>
                <c:pt idx="5">
                  <c:v>Articles*</c:v>
                </c:pt>
                <c:pt idx="6">
                  <c:v>Citations*</c:v>
                </c:pt>
                <c:pt idx="7">
                  <c:v>Inst*</c:v>
                </c:pt>
                <c:pt idx="8">
                  <c:v>H- index</c:v>
                </c:pt>
              </c:strCache>
            </c:strRef>
          </c:cat>
          <c:val>
            <c:numRef>
              <c:f>Sheet2!$M$5:$U$5</c:f>
              <c:numCache>
                <c:formatCode>General</c:formatCode>
                <c:ptCount val="9"/>
                <c:pt idx="0">
                  <c:v>0.77040816326530615</c:v>
                </c:pt>
                <c:pt idx="1">
                  <c:v>0.77040816326530603</c:v>
                </c:pt>
                <c:pt idx="2">
                  <c:v>1</c:v>
                </c:pt>
                <c:pt idx="3">
                  <c:v>0.77900552486187846</c:v>
                </c:pt>
                <c:pt idx="4">
                  <c:v>0.59880239520958078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  <c:pt idx="8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238-4946-9D54-7FC09F12C35D}"/>
            </c:ext>
          </c:extLst>
        </c:ser>
        <c:ser>
          <c:idx val="2"/>
          <c:order val="2"/>
          <c:tx>
            <c:strRef>
              <c:f>Sheet2!$L$6</c:f>
              <c:strCache>
                <c:ptCount val="1"/>
                <c:pt idx="0">
                  <c:v>UK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Sheet2!$M$3:$U$3</c:f>
              <c:strCache>
                <c:ptCount val="9"/>
                <c:pt idx="0">
                  <c:v>Articles</c:v>
                </c:pt>
                <c:pt idx="1">
                  <c:v>% Articles</c:v>
                </c:pt>
                <c:pt idx="2">
                  <c:v>Citation</c:v>
                </c:pt>
                <c:pt idx="3">
                  <c:v>Author </c:v>
                </c:pt>
                <c:pt idx="4">
                  <c:v>Inst</c:v>
                </c:pt>
                <c:pt idx="5">
                  <c:v>Articles*</c:v>
                </c:pt>
                <c:pt idx="6">
                  <c:v>Citations*</c:v>
                </c:pt>
                <c:pt idx="7">
                  <c:v>Inst*</c:v>
                </c:pt>
                <c:pt idx="8">
                  <c:v>H- index</c:v>
                </c:pt>
              </c:strCache>
            </c:strRef>
          </c:cat>
          <c:val>
            <c:numRef>
              <c:f>Sheet2!$M$6:$U$6</c:f>
              <c:numCache>
                <c:formatCode>General</c:formatCode>
                <c:ptCount val="9"/>
                <c:pt idx="0">
                  <c:v>0.38775510204081631</c:v>
                </c:pt>
                <c:pt idx="1">
                  <c:v>0.38775510204081626</c:v>
                </c:pt>
                <c:pt idx="2">
                  <c:v>0.56404160475482912</c:v>
                </c:pt>
                <c:pt idx="3">
                  <c:v>0.39779005524861877</c:v>
                </c:pt>
                <c:pt idx="4">
                  <c:v>0.41317365269461076</c:v>
                </c:pt>
                <c:pt idx="5">
                  <c:v>0.48275862068965519</c:v>
                </c:pt>
                <c:pt idx="6">
                  <c:v>0.58536585365853655</c:v>
                </c:pt>
                <c:pt idx="7">
                  <c:v>0.66666666666666663</c:v>
                </c:pt>
                <c:pt idx="8">
                  <c:v>0.48275862068965519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A238-4946-9D54-7FC09F12C35D}"/>
            </c:ext>
          </c:extLst>
        </c:ser>
        <c:ser>
          <c:idx val="3"/>
          <c:order val="3"/>
          <c:tx>
            <c:strRef>
              <c:f>Sheet2!$L$7</c:f>
              <c:strCache>
                <c:ptCount val="1"/>
                <c:pt idx="0">
                  <c:v>Germany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Sheet2!$M$3:$U$3</c:f>
              <c:strCache>
                <c:ptCount val="9"/>
                <c:pt idx="0">
                  <c:v>Articles</c:v>
                </c:pt>
                <c:pt idx="1">
                  <c:v>% Articles</c:v>
                </c:pt>
                <c:pt idx="2">
                  <c:v>Citation</c:v>
                </c:pt>
                <c:pt idx="3">
                  <c:v>Author </c:v>
                </c:pt>
                <c:pt idx="4">
                  <c:v>Inst</c:v>
                </c:pt>
                <c:pt idx="5">
                  <c:v>Articles*</c:v>
                </c:pt>
                <c:pt idx="6">
                  <c:v>Citations*</c:v>
                </c:pt>
                <c:pt idx="7">
                  <c:v>Inst*</c:v>
                </c:pt>
                <c:pt idx="8">
                  <c:v>H- index</c:v>
                </c:pt>
              </c:strCache>
            </c:strRef>
          </c:cat>
          <c:val>
            <c:numRef>
              <c:f>Sheet2!$M$7:$U$7</c:f>
              <c:numCache>
                <c:formatCode>General</c:formatCode>
                <c:ptCount val="9"/>
                <c:pt idx="0">
                  <c:v>0.31122448979591838</c:v>
                </c:pt>
                <c:pt idx="1">
                  <c:v>0.31122448979591838</c:v>
                </c:pt>
                <c:pt idx="2">
                  <c:v>0.42154531946508172</c:v>
                </c:pt>
                <c:pt idx="3">
                  <c:v>0.33701657458563539</c:v>
                </c:pt>
                <c:pt idx="4">
                  <c:v>0.31137724550898205</c:v>
                </c:pt>
                <c:pt idx="5">
                  <c:v>0.2413793103448276</c:v>
                </c:pt>
                <c:pt idx="6">
                  <c:v>0.23457675753228122</c:v>
                </c:pt>
                <c:pt idx="7">
                  <c:v>0.33333333333333331</c:v>
                </c:pt>
                <c:pt idx="8">
                  <c:v>0.2413793103448276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A238-4946-9D54-7FC09F12C35D}"/>
            </c:ext>
          </c:extLst>
        </c:ser>
        <c:ser>
          <c:idx val="4"/>
          <c:order val="4"/>
          <c:tx>
            <c:strRef>
              <c:f>Sheet2!$L$8</c:f>
              <c:strCache>
                <c:ptCount val="1"/>
                <c:pt idx="0">
                  <c:v>India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strRef>
              <c:f>Sheet2!$M$3:$U$3</c:f>
              <c:strCache>
                <c:ptCount val="9"/>
                <c:pt idx="0">
                  <c:v>Articles</c:v>
                </c:pt>
                <c:pt idx="1">
                  <c:v>% Articles</c:v>
                </c:pt>
                <c:pt idx="2">
                  <c:v>Citation</c:v>
                </c:pt>
                <c:pt idx="3">
                  <c:v>Author </c:v>
                </c:pt>
                <c:pt idx="4">
                  <c:v>Inst</c:v>
                </c:pt>
                <c:pt idx="5">
                  <c:v>Articles*</c:v>
                </c:pt>
                <c:pt idx="6">
                  <c:v>Citations*</c:v>
                </c:pt>
                <c:pt idx="7">
                  <c:v>Inst*</c:v>
                </c:pt>
                <c:pt idx="8">
                  <c:v>H- index</c:v>
                </c:pt>
              </c:strCache>
            </c:strRef>
          </c:cat>
          <c:val>
            <c:numRef>
              <c:f>Sheet2!$M$8:$U$8</c:f>
              <c:numCache>
                <c:formatCode>General</c:formatCode>
                <c:ptCount val="9"/>
                <c:pt idx="0">
                  <c:v>0.30612244897959184</c:v>
                </c:pt>
                <c:pt idx="1">
                  <c:v>0.30612244897959179</c:v>
                </c:pt>
                <c:pt idx="2">
                  <c:v>0.32704309063893017</c:v>
                </c:pt>
                <c:pt idx="3">
                  <c:v>0.32596685082872928</c:v>
                </c:pt>
                <c:pt idx="4">
                  <c:v>0.31736526946107785</c:v>
                </c:pt>
                <c:pt idx="5">
                  <c:v>0.17241379310344829</c:v>
                </c:pt>
                <c:pt idx="6">
                  <c:v>0.30308464849354377</c:v>
                </c:pt>
                <c:pt idx="7">
                  <c:v>0.23809523809523808</c:v>
                </c:pt>
                <c:pt idx="8">
                  <c:v>0.17241379310344829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A238-4946-9D54-7FC09F12C35D}"/>
            </c:ext>
          </c:extLst>
        </c:ser>
        <c:ser>
          <c:idx val="5"/>
          <c:order val="5"/>
          <c:tx>
            <c:strRef>
              <c:f>Sheet2!$L$9</c:f>
              <c:strCache>
                <c:ptCount val="1"/>
                <c:pt idx="0">
                  <c:v>Italy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strRef>
              <c:f>Sheet2!$M$3:$U$3</c:f>
              <c:strCache>
                <c:ptCount val="9"/>
                <c:pt idx="0">
                  <c:v>Articles</c:v>
                </c:pt>
                <c:pt idx="1">
                  <c:v>% Articles</c:v>
                </c:pt>
                <c:pt idx="2">
                  <c:v>Citation</c:v>
                </c:pt>
                <c:pt idx="3">
                  <c:v>Author </c:v>
                </c:pt>
                <c:pt idx="4">
                  <c:v>Inst</c:v>
                </c:pt>
                <c:pt idx="5">
                  <c:v>Articles*</c:v>
                </c:pt>
                <c:pt idx="6">
                  <c:v>Citations*</c:v>
                </c:pt>
                <c:pt idx="7">
                  <c:v>Inst*</c:v>
                </c:pt>
                <c:pt idx="8">
                  <c:v>H- index</c:v>
                </c:pt>
              </c:strCache>
            </c:strRef>
          </c:cat>
          <c:val>
            <c:numRef>
              <c:f>Sheet2!$M$9:$U$9</c:f>
              <c:numCache>
                <c:formatCode>General</c:formatCode>
                <c:ptCount val="9"/>
                <c:pt idx="0">
                  <c:v>0.2857142857142857</c:v>
                </c:pt>
                <c:pt idx="1">
                  <c:v>0.2857142857142857</c:v>
                </c:pt>
                <c:pt idx="2">
                  <c:v>0.62555720653789004</c:v>
                </c:pt>
                <c:pt idx="3">
                  <c:v>0.30386740331491713</c:v>
                </c:pt>
                <c:pt idx="4">
                  <c:v>0.19760479041916168</c:v>
                </c:pt>
                <c:pt idx="5">
                  <c:v>0.51724137931034486</c:v>
                </c:pt>
                <c:pt idx="6">
                  <c:v>0.64131994261119085</c:v>
                </c:pt>
                <c:pt idx="7">
                  <c:v>0.2857142857142857</c:v>
                </c:pt>
                <c:pt idx="8">
                  <c:v>0.51724137931034486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A238-4946-9D54-7FC09F12C35D}"/>
            </c:ext>
          </c:extLst>
        </c:ser>
        <c:ser>
          <c:idx val="6"/>
          <c:order val="6"/>
          <c:tx>
            <c:strRef>
              <c:f>Sheet2!$L$10</c:f>
              <c:strCache>
                <c:ptCount val="1"/>
                <c:pt idx="0">
                  <c:v>Canada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Sheet2!$M$3:$U$3</c:f>
              <c:strCache>
                <c:ptCount val="9"/>
                <c:pt idx="0">
                  <c:v>Articles</c:v>
                </c:pt>
                <c:pt idx="1">
                  <c:v>% Articles</c:v>
                </c:pt>
                <c:pt idx="2">
                  <c:v>Citation</c:v>
                </c:pt>
                <c:pt idx="3">
                  <c:v>Author </c:v>
                </c:pt>
                <c:pt idx="4">
                  <c:v>Inst</c:v>
                </c:pt>
                <c:pt idx="5">
                  <c:v>Articles*</c:v>
                </c:pt>
                <c:pt idx="6">
                  <c:v>Citations*</c:v>
                </c:pt>
                <c:pt idx="7">
                  <c:v>Inst*</c:v>
                </c:pt>
                <c:pt idx="8">
                  <c:v>H- index</c:v>
                </c:pt>
              </c:strCache>
            </c:strRef>
          </c:cat>
          <c:val>
            <c:numRef>
              <c:f>Sheet2!$M$10:$U$10</c:f>
              <c:numCache>
                <c:formatCode>General</c:formatCode>
                <c:ptCount val="9"/>
                <c:pt idx="0">
                  <c:v>0.28061224489795916</c:v>
                </c:pt>
                <c:pt idx="1">
                  <c:v>0.28061224489795916</c:v>
                </c:pt>
                <c:pt idx="2">
                  <c:v>0.26508172362555721</c:v>
                </c:pt>
                <c:pt idx="3">
                  <c:v>0.29281767955801102</c:v>
                </c:pt>
                <c:pt idx="4">
                  <c:v>0.19161676646706588</c:v>
                </c:pt>
                <c:pt idx="5">
                  <c:v>0.41379310344827586</c:v>
                </c:pt>
                <c:pt idx="6">
                  <c:v>0.31599713055954087</c:v>
                </c:pt>
                <c:pt idx="7">
                  <c:v>0.42857142857142855</c:v>
                </c:pt>
                <c:pt idx="8">
                  <c:v>0.41379310344827586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A238-4946-9D54-7FC09F12C35D}"/>
            </c:ext>
          </c:extLst>
        </c:ser>
        <c:ser>
          <c:idx val="7"/>
          <c:order val="7"/>
          <c:tx>
            <c:strRef>
              <c:f>Sheet2!$L$11</c:f>
              <c:strCache>
                <c:ptCount val="1"/>
                <c:pt idx="0">
                  <c:v>Sweden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Sheet2!$M$3:$U$3</c:f>
              <c:strCache>
                <c:ptCount val="9"/>
                <c:pt idx="0">
                  <c:v>Articles</c:v>
                </c:pt>
                <c:pt idx="1">
                  <c:v>% Articles</c:v>
                </c:pt>
                <c:pt idx="2">
                  <c:v>Citation</c:v>
                </c:pt>
                <c:pt idx="3">
                  <c:v>Author </c:v>
                </c:pt>
                <c:pt idx="4">
                  <c:v>Inst</c:v>
                </c:pt>
                <c:pt idx="5">
                  <c:v>Articles*</c:v>
                </c:pt>
                <c:pt idx="6">
                  <c:v>Citations*</c:v>
                </c:pt>
                <c:pt idx="7">
                  <c:v>Inst*</c:v>
                </c:pt>
                <c:pt idx="8">
                  <c:v>H- index</c:v>
                </c:pt>
              </c:strCache>
            </c:strRef>
          </c:cat>
          <c:val>
            <c:numRef>
              <c:f>Sheet2!$M$11:$U$11</c:f>
              <c:numCache>
                <c:formatCode>General</c:formatCode>
                <c:ptCount val="9"/>
                <c:pt idx="0">
                  <c:v>0.23469387755102042</c:v>
                </c:pt>
                <c:pt idx="1">
                  <c:v>0.23469387755102042</c:v>
                </c:pt>
                <c:pt idx="2">
                  <c:v>0.33521545319465079</c:v>
                </c:pt>
                <c:pt idx="3">
                  <c:v>0.24309392265193369</c:v>
                </c:pt>
                <c:pt idx="4">
                  <c:v>0.19161676646706588</c:v>
                </c:pt>
                <c:pt idx="5">
                  <c:v>0.27586206896551724</c:v>
                </c:pt>
                <c:pt idx="6">
                  <c:v>0.20086083213773315</c:v>
                </c:pt>
                <c:pt idx="7">
                  <c:v>0.33333333333333331</c:v>
                </c:pt>
                <c:pt idx="8">
                  <c:v>0.27586206896551724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A238-4946-9D54-7FC09F12C35D}"/>
            </c:ext>
          </c:extLst>
        </c:ser>
        <c:ser>
          <c:idx val="8"/>
          <c:order val="8"/>
          <c:tx>
            <c:strRef>
              <c:f>Sheet2!$L$12</c:f>
              <c:strCache>
                <c:ptCount val="1"/>
                <c:pt idx="0">
                  <c:v>Spain</c:v>
                </c:pt>
              </c:strCache>
            </c:strRef>
          </c:tx>
          <c:spPr>
            <a:ln w="28575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Sheet2!$M$3:$U$3</c:f>
              <c:strCache>
                <c:ptCount val="9"/>
                <c:pt idx="0">
                  <c:v>Articles</c:v>
                </c:pt>
                <c:pt idx="1">
                  <c:v>% Articles</c:v>
                </c:pt>
                <c:pt idx="2">
                  <c:v>Citation</c:v>
                </c:pt>
                <c:pt idx="3">
                  <c:v>Author </c:v>
                </c:pt>
                <c:pt idx="4">
                  <c:v>Inst</c:v>
                </c:pt>
                <c:pt idx="5">
                  <c:v>Articles*</c:v>
                </c:pt>
                <c:pt idx="6">
                  <c:v>Citations*</c:v>
                </c:pt>
                <c:pt idx="7">
                  <c:v>Inst*</c:v>
                </c:pt>
                <c:pt idx="8">
                  <c:v>H- index</c:v>
                </c:pt>
              </c:strCache>
            </c:strRef>
          </c:cat>
          <c:val>
            <c:numRef>
              <c:f>Sheet2!$M$12:$U$12</c:f>
              <c:numCache>
                <c:formatCode>General</c:formatCode>
                <c:ptCount val="9"/>
                <c:pt idx="0">
                  <c:v>0.15306122448979592</c:v>
                </c:pt>
                <c:pt idx="1">
                  <c:v>0.15306122448979589</c:v>
                </c:pt>
                <c:pt idx="2">
                  <c:v>0.17473997028231797</c:v>
                </c:pt>
                <c:pt idx="3">
                  <c:v>0.15469613259668508</c:v>
                </c:pt>
                <c:pt idx="4">
                  <c:v>0.1497005988023952</c:v>
                </c:pt>
                <c:pt idx="5">
                  <c:v>0.13793103448275862</c:v>
                </c:pt>
                <c:pt idx="6">
                  <c:v>9.5408895265423246E-2</c:v>
                </c:pt>
                <c:pt idx="7">
                  <c:v>0.19047619047619047</c:v>
                </c:pt>
                <c:pt idx="8">
                  <c:v>0.13793103448275862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A238-4946-9D54-7FC09F12C35D}"/>
            </c:ext>
          </c:extLst>
        </c:ser>
        <c:ser>
          <c:idx val="9"/>
          <c:order val="9"/>
          <c:tx>
            <c:strRef>
              <c:f>Sheet2!$L$13</c:f>
              <c:strCache>
                <c:ptCount val="1"/>
                <c:pt idx="0">
                  <c:v>Australia</c:v>
                </c:pt>
              </c:strCache>
            </c:strRef>
          </c:tx>
          <c:spPr>
            <a:ln w="28575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Sheet2!$M$3:$U$3</c:f>
              <c:strCache>
                <c:ptCount val="9"/>
                <c:pt idx="0">
                  <c:v>Articles</c:v>
                </c:pt>
                <c:pt idx="1">
                  <c:v>% Articles</c:v>
                </c:pt>
                <c:pt idx="2">
                  <c:v>Citation</c:v>
                </c:pt>
                <c:pt idx="3">
                  <c:v>Author </c:v>
                </c:pt>
                <c:pt idx="4">
                  <c:v>Inst</c:v>
                </c:pt>
                <c:pt idx="5">
                  <c:v>Articles*</c:v>
                </c:pt>
                <c:pt idx="6">
                  <c:v>Citations*</c:v>
                </c:pt>
                <c:pt idx="7">
                  <c:v>Inst*</c:v>
                </c:pt>
                <c:pt idx="8">
                  <c:v>H- index</c:v>
                </c:pt>
              </c:strCache>
            </c:strRef>
          </c:cat>
          <c:val>
            <c:numRef>
              <c:f>Sheet2!$M$13:$U$13</c:f>
              <c:numCache>
                <c:formatCode>General</c:formatCode>
                <c:ptCount val="9"/>
                <c:pt idx="0">
                  <c:v>0.12755102040816327</c:v>
                </c:pt>
                <c:pt idx="1">
                  <c:v>0.12755102040816327</c:v>
                </c:pt>
                <c:pt idx="2">
                  <c:v>0.18098068350668647</c:v>
                </c:pt>
                <c:pt idx="3">
                  <c:v>0.13812154696132597</c:v>
                </c:pt>
                <c:pt idx="4">
                  <c:v>0.1317365269461078</c:v>
                </c:pt>
                <c:pt idx="5">
                  <c:v>0.13793103448275862</c:v>
                </c:pt>
                <c:pt idx="6">
                  <c:v>9.4691535150645628E-2</c:v>
                </c:pt>
                <c:pt idx="7">
                  <c:v>0.19047619047619047</c:v>
                </c:pt>
                <c:pt idx="8">
                  <c:v>0.13793103448275862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A238-4946-9D54-7FC09F12C35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23246799"/>
        <c:axId val="223247279"/>
      </c:radarChart>
      <c:catAx>
        <c:axId val="22324679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23247279"/>
        <c:crosses val="autoZero"/>
        <c:auto val="1"/>
        <c:lblAlgn val="ctr"/>
        <c:lblOffset val="100"/>
        <c:noMultiLvlLbl val="0"/>
      </c:catAx>
      <c:valAx>
        <c:axId val="223247279"/>
        <c:scaling>
          <c:orientation val="minMax"/>
        </c:scaling>
        <c:delete val="1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crossAx val="22324679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layout>
        <c:manualLayout>
          <c:xMode val="edge"/>
          <c:yMode val="edge"/>
          <c:x val="0.83330071634372394"/>
          <c:y val="0.23668486749695364"/>
          <c:w val="0.16243219597550304"/>
          <c:h val="0.50488583101013484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3715744305254465"/>
          <c:y val="6.57716941393474E-2"/>
          <c:w val="0.47716904164207768"/>
          <c:h val="0.87481512866340339"/>
        </c:manualLayout>
      </c:layout>
      <c:radarChart>
        <c:radarStyle val="marker"/>
        <c:varyColors val="0"/>
        <c:ser>
          <c:idx val="0"/>
          <c:order val="0"/>
          <c:tx>
            <c:strRef>
              <c:f>Sheet2!$I$37</c:f>
              <c:strCache>
                <c:ptCount val="1"/>
                <c:pt idx="0">
                  <c:v>Sustainability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Sheet2!$J$36:$N$36</c:f>
              <c:strCache>
                <c:ptCount val="5"/>
                <c:pt idx="0">
                  <c:v> Articles</c:v>
                </c:pt>
                <c:pt idx="1">
                  <c:v>Citations</c:v>
                </c:pt>
                <c:pt idx="2">
                  <c:v>Hot Articles</c:v>
                </c:pt>
                <c:pt idx="3">
                  <c:v>H-Index</c:v>
                </c:pt>
                <c:pt idx="4">
                  <c:v>IF</c:v>
                </c:pt>
              </c:strCache>
            </c:strRef>
          </c:cat>
          <c:val>
            <c:numRef>
              <c:f>Sheet2!$J$37:$N$37</c:f>
              <c:numCache>
                <c:formatCode>General</c:formatCode>
                <c:ptCount val="5"/>
                <c:pt idx="0">
                  <c:v>1</c:v>
                </c:pt>
                <c:pt idx="1">
                  <c:v>0.62544014084507038</c:v>
                </c:pt>
                <c:pt idx="2">
                  <c:v>0.26666666666666666</c:v>
                </c:pt>
                <c:pt idx="3">
                  <c:v>0.8</c:v>
                </c:pt>
                <c:pt idx="4">
                  <c:v>0.27499999999999997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296-4AAF-B0D3-2549AAA2E533}"/>
            </c:ext>
          </c:extLst>
        </c:ser>
        <c:ser>
          <c:idx val="1"/>
          <c:order val="1"/>
          <c:tx>
            <c:strRef>
              <c:f>Sheet2!$I$38</c:f>
              <c:strCache>
                <c:ptCount val="1"/>
                <c:pt idx="0">
                  <c:v>Int Journal of Sustainable Transp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Sheet2!$J$36:$N$36</c:f>
              <c:strCache>
                <c:ptCount val="5"/>
                <c:pt idx="0">
                  <c:v> Articles</c:v>
                </c:pt>
                <c:pt idx="1">
                  <c:v>Citations</c:v>
                </c:pt>
                <c:pt idx="2">
                  <c:v>Hot Articles</c:v>
                </c:pt>
                <c:pt idx="3">
                  <c:v>H-Index</c:v>
                </c:pt>
                <c:pt idx="4">
                  <c:v>IF</c:v>
                </c:pt>
              </c:strCache>
            </c:strRef>
          </c:cat>
          <c:val>
            <c:numRef>
              <c:f>Sheet2!$J$38:$N$38</c:f>
              <c:numCache>
                <c:formatCode>General</c:formatCode>
                <c:ptCount val="5"/>
                <c:pt idx="0">
                  <c:v>0.92982456140350878</c:v>
                </c:pt>
                <c:pt idx="1">
                  <c:v>1</c:v>
                </c:pt>
                <c:pt idx="2">
                  <c:v>0.6</c:v>
                </c:pt>
                <c:pt idx="3">
                  <c:v>1</c:v>
                </c:pt>
                <c:pt idx="4">
                  <c:v>0.32500000000000001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296-4AAF-B0D3-2549AAA2E533}"/>
            </c:ext>
          </c:extLst>
        </c:ser>
        <c:ser>
          <c:idx val="2"/>
          <c:order val="2"/>
          <c:tx>
            <c:strRef>
              <c:f>Sheet2!$I$39</c:f>
              <c:strCache>
                <c:ptCount val="1"/>
                <c:pt idx="0">
                  <c:v>Transportation Research Part D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Sheet2!$J$36:$N$36</c:f>
              <c:strCache>
                <c:ptCount val="5"/>
                <c:pt idx="0">
                  <c:v> Articles</c:v>
                </c:pt>
                <c:pt idx="1">
                  <c:v>Citations</c:v>
                </c:pt>
                <c:pt idx="2">
                  <c:v>Hot Articles</c:v>
                </c:pt>
                <c:pt idx="3">
                  <c:v>H-Index</c:v>
                </c:pt>
                <c:pt idx="4">
                  <c:v>IF</c:v>
                </c:pt>
              </c:strCache>
            </c:strRef>
          </c:cat>
          <c:val>
            <c:numRef>
              <c:f>Sheet2!$J$39:$N$39</c:f>
              <c:numCache>
                <c:formatCode>General</c:formatCode>
                <c:ptCount val="5"/>
                <c:pt idx="0">
                  <c:v>0.44736842105263158</c:v>
                </c:pt>
                <c:pt idx="1">
                  <c:v>0.83582746478873238</c:v>
                </c:pt>
                <c:pt idx="2">
                  <c:v>1</c:v>
                </c:pt>
                <c:pt idx="3">
                  <c:v>0.92</c:v>
                </c:pt>
                <c:pt idx="4">
                  <c:v>0.64166666666666672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E296-4AAF-B0D3-2549AAA2E533}"/>
            </c:ext>
          </c:extLst>
        </c:ser>
        <c:ser>
          <c:idx val="3"/>
          <c:order val="3"/>
          <c:tx>
            <c:strRef>
              <c:f>Sheet2!$I$40</c:f>
              <c:strCache>
                <c:ptCount val="1"/>
                <c:pt idx="0">
                  <c:v>Journal of Cleaner Production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Sheet2!$J$36:$N$36</c:f>
              <c:strCache>
                <c:ptCount val="5"/>
                <c:pt idx="0">
                  <c:v> Articles</c:v>
                </c:pt>
                <c:pt idx="1">
                  <c:v>Citations</c:v>
                </c:pt>
                <c:pt idx="2">
                  <c:v>Hot Articles</c:v>
                </c:pt>
                <c:pt idx="3">
                  <c:v>H-Index</c:v>
                </c:pt>
                <c:pt idx="4">
                  <c:v>IF</c:v>
                </c:pt>
              </c:strCache>
            </c:strRef>
          </c:cat>
          <c:val>
            <c:numRef>
              <c:f>Sheet2!$J$40:$N$40</c:f>
              <c:numCache>
                <c:formatCode>General</c:formatCode>
                <c:ptCount val="5"/>
                <c:pt idx="0">
                  <c:v>0.34210526315789475</c:v>
                </c:pt>
                <c:pt idx="1">
                  <c:v>0.82130281690140849</c:v>
                </c:pt>
                <c:pt idx="2">
                  <c:v>0.8</c:v>
                </c:pt>
                <c:pt idx="3">
                  <c:v>0.88</c:v>
                </c:pt>
                <c:pt idx="4">
                  <c:v>0.83333333333333337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E296-4AAF-B0D3-2549AAA2E533}"/>
            </c:ext>
          </c:extLst>
        </c:ser>
        <c:ser>
          <c:idx val="4"/>
          <c:order val="4"/>
          <c:tx>
            <c:strRef>
              <c:f>Sheet2!$I$41</c:f>
              <c:strCache>
                <c:ptCount val="1"/>
                <c:pt idx="0">
                  <c:v>Transport Policy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strRef>
              <c:f>Sheet2!$J$36:$N$36</c:f>
              <c:strCache>
                <c:ptCount val="5"/>
                <c:pt idx="0">
                  <c:v> Articles</c:v>
                </c:pt>
                <c:pt idx="1">
                  <c:v>Citations</c:v>
                </c:pt>
                <c:pt idx="2">
                  <c:v>Hot Articles</c:v>
                </c:pt>
                <c:pt idx="3">
                  <c:v>H-Index</c:v>
                </c:pt>
                <c:pt idx="4">
                  <c:v>IF</c:v>
                </c:pt>
              </c:strCache>
            </c:strRef>
          </c:cat>
          <c:val>
            <c:numRef>
              <c:f>Sheet2!$J$41:$N$41</c:f>
              <c:numCache>
                <c:formatCode>General</c:formatCode>
                <c:ptCount val="5"/>
                <c:pt idx="0">
                  <c:v>0.2807017543859649</c:v>
                </c:pt>
                <c:pt idx="1">
                  <c:v>0.41945422535211269</c:v>
                </c:pt>
                <c:pt idx="2">
                  <c:v>0.6</c:v>
                </c:pt>
                <c:pt idx="3">
                  <c:v>0.72</c:v>
                </c:pt>
                <c:pt idx="4">
                  <c:v>0.44166666666666665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E296-4AAF-B0D3-2549AAA2E533}"/>
            </c:ext>
          </c:extLst>
        </c:ser>
        <c:ser>
          <c:idx val="5"/>
          <c:order val="5"/>
          <c:tx>
            <c:strRef>
              <c:f>Sheet2!$I$42</c:f>
              <c:strCache>
                <c:ptCount val="1"/>
                <c:pt idx="0">
                  <c:v>Sustainable Cities and Society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strRef>
              <c:f>Sheet2!$J$36:$N$36</c:f>
              <c:strCache>
                <c:ptCount val="5"/>
                <c:pt idx="0">
                  <c:v> Articles</c:v>
                </c:pt>
                <c:pt idx="1">
                  <c:v>Citations</c:v>
                </c:pt>
                <c:pt idx="2">
                  <c:v>Hot Articles</c:v>
                </c:pt>
                <c:pt idx="3">
                  <c:v>H-Index</c:v>
                </c:pt>
                <c:pt idx="4">
                  <c:v>IF</c:v>
                </c:pt>
              </c:strCache>
            </c:strRef>
          </c:cat>
          <c:val>
            <c:numRef>
              <c:f>Sheet2!$J$42:$N$42</c:f>
              <c:numCache>
                <c:formatCode>General</c:formatCode>
                <c:ptCount val="5"/>
                <c:pt idx="0">
                  <c:v>0.22807017543859648</c:v>
                </c:pt>
                <c:pt idx="1">
                  <c:v>0.25792253521126762</c:v>
                </c:pt>
                <c:pt idx="2">
                  <c:v>0.2</c:v>
                </c:pt>
                <c:pt idx="3">
                  <c:v>0.6</c:v>
                </c:pt>
                <c:pt idx="4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E296-4AAF-B0D3-2549AAA2E533}"/>
            </c:ext>
          </c:extLst>
        </c:ser>
        <c:ser>
          <c:idx val="6"/>
          <c:order val="6"/>
          <c:tx>
            <c:strRef>
              <c:f>Sheet2!$I$43</c:f>
              <c:strCache>
                <c:ptCount val="1"/>
                <c:pt idx="0">
                  <c:v>Transportation Research Part A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Sheet2!$J$36:$N$36</c:f>
              <c:strCache>
                <c:ptCount val="5"/>
                <c:pt idx="0">
                  <c:v> Articles</c:v>
                </c:pt>
                <c:pt idx="1">
                  <c:v>Citations</c:v>
                </c:pt>
                <c:pt idx="2">
                  <c:v>Hot Articles</c:v>
                </c:pt>
                <c:pt idx="3">
                  <c:v>H-Index</c:v>
                </c:pt>
                <c:pt idx="4">
                  <c:v>IF</c:v>
                </c:pt>
              </c:strCache>
            </c:strRef>
          </c:cat>
          <c:val>
            <c:numRef>
              <c:f>Sheet2!$J$43:$N$43</c:f>
              <c:numCache>
                <c:formatCode>General</c:formatCode>
                <c:ptCount val="5"/>
                <c:pt idx="0">
                  <c:v>0.21052631578947367</c:v>
                </c:pt>
                <c:pt idx="1">
                  <c:v>0.51760563380281688</c:v>
                </c:pt>
                <c:pt idx="2">
                  <c:v>0.73333333333333328</c:v>
                </c:pt>
                <c:pt idx="3">
                  <c:v>0.68</c:v>
                </c:pt>
                <c:pt idx="4">
                  <c:v>0.56666666666666665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E296-4AAF-B0D3-2549AAA2E533}"/>
            </c:ext>
          </c:extLst>
        </c:ser>
        <c:ser>
          <c:idx val="7"/>
          <c:order val="7"/>
          <c:tx>
            <c:strRef>
              <c:f>Sheet2!$I$44</c:f>
              <c:strCache>
                <c:ptCount val="1"/>
                <c:pt idx="0">
                  <c:v>Energies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Sheet2!$J$36:$N$36</c:f>
              <c:strCache>
                <c:ptCount val="5"/>
                <c:pt idx="0">
                  <c:v> Articles</c:v>
                </c:pt>
                <c:pt idx="1">
                  <c:v>Citations</c:v>
                </c:pt>
                <c:pt idx="2">
                  <c:v>Hot Articles</c:v>
                </c:pt>
                <c:pt idx="3">
                  <c:v>H-Index</c:v>
                </c:pt>
                <c:pt idx="4">
                  <c:v>IF</c:v>
                </c:pt>
              </c:strCache>
            </c:strRef>
          </c:cat>
          <c:val>
            <c:numRef>
              <c:f>Sheet2!$J$44:$N$44</c:f>
              <c:numCache>
                <c:formatCode>General</c:formatCode>
                <c:ptCount val="5"/>
                <c:pt idx="0">
                  <c:v>0.18421052631578946</c:v>
                </c:pt>
                <c:pt idx="1">
                  <c:v>8.7588028169014079E-2</c:v>
                </c:pt>
                <c:pt idx="2">
                  <c:v>0</c:v>
                </c:pt>
                <c:pt idx="3">
                  <c:v>0.32</c:v>
                </c:pt>
                <c:pt idx="4">
                  <c:v>0.26666666666666666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E296-4AAF-B0D3-2549AAA2E533}"/>
            </c:ext>
          </c:extLst>
        </c:ser>
        <c:ser>
          <c:idx val="8"/>
          <c:order val="8"/>
          <c:tx>
            <c:strRef>
              <c:f>Sheet2!$I$45</c:f>
              <c:strCache>
                <c:ptCount val="1"/>
                <c:pt idx="0">
                  <c:v>Transportation Research Record</c:v>
                </c:pt>
              </c:strCache>
            </c:strRef>
          </c:tx>
          <c:spPr>
            <a:ln w="28575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Sheet2!$J$36:$N$36</c:f>
              <c:strCache>
                <c:ptCount val="5"/>
                <c:pt idx="0">
                  <c:v> Articles</c:v>
                </c:pt>
                <c:pt idx="1">
                  <c:v>Citations</c:v>
                </c:pt>
                <c:pt idx="2">
                  <c:v>Hot Articles</c:v>
                </c:pt>
                <c:pt idx="3">
                  <c:v>H-Index</c:v>
                </c:pt>
                <c:pt idx="4">
                  <c:v>IF</c:v>
                </c:pt>
              </c:strCache>
            </c:strRef>
          </c:cat>
          <c:val>
            <c:numRef>
              <c:f>Sheet2!$J$45:$N$45</c:f>
              <c:numCache>
                <c:formatCode>General</c:formatCode>
                <c:ptCount val="5"/>
                <c:pt idx="0">
                  <c:v>0.16666666666666666</c:v>
                </c:pt>
                <c:pt idx="1">
                  <c:v>0.15008802816901409</c:v>
                </c:pt>
                <c:pt idx="2">
                  <c:v>0.13333333333333333</c:v>
                </c:pt>
                <c:pt idx="3">
                  <c:v>0.4</c:v>
                </c:pt>
                <c:pt idx="4">
                  <c:v>0.15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E296-4AAF-B0D3-2549AAA2E533}"/>
            </c:ext>
          </c:extLst>
        </c:ser>
        <c:ser>
          <c:idx val="9"/>
          <c:order val="9"/>
          <c:tx>
            <c:strRef>
              <c:f>Sheet2!$I$46</c:f>
              <c:strCache>
                <c:ptCount val="1"/>
                <c:pt idx="0">
                  <c:v>Energy Policy</c:v>
                </c:pt>
              </c:strCache>
            </c:strRef>
          </c:tx>
          <c:spPr>
            <a:ln w="28575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Sheet2!$J$36:$N$36</c:f>
              <c:strCache>
                <c:ptCount val="5"/>
                <c:pt idx="0">
                  <c:v> Articles</c:v>
                </c:pt>
                <c:pt idx="1">
                  <c:v>Citations</c:v>
                </c:pt>
                <c:pt idx="2">
                  <c:v>Hot Articles</c:v>
                </c:pt>
                <c:pt idx="3">
                  <c:v>H-Index</c:v>
                </c:pt>
                <c:pt idx="4">
                  <c:v>IF</c:v>
                </c:pt>
              </c:strCache>
            </c:strRef>
          </c:cat>
          <c:val>
            <c:numRef>
              <c:f>Sheet2!$J$46:$N$46</c:f>
              <c:numCache>
                <c:formatCode>General</c:formatCode>
                <c:ptCount val="5"/>
                <c:pt idx="0">
                  <c:v>0.15789473684210525</c:v>
                </c:pt>
                <c:pt idx="1">
                  <c:v>0.4005281690140845</c:v>
                </c:pt>
                <c:pt idx="2">
                  <c:v>0.53333333333333333</c:v>
                </c:pt>
                <c:pt idx="3">
                  <c:v>0.6</c:v>
                </c:pt>
                <c:pt idx="4">
                  <c:v>0.76666666666666661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E296-4AAF-B0D3-2549AAA2E53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45712687"/>
        <c:axId val="1545709327"/>
      </c:radarChart>
      <c:catAx>
        <c:axId val="154571268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76200" cap="flat" cmpd="sng" algn="ctr">
            <a:solidFill>
              <a:schemeClr val="accent2"/>
            </a:solidFill>
            <a:prstDash val="solid"/>
            <a:miter lim="800000"/>
          </a:ln>
          <a:effectLst/>
        </c:spPr>
        <c:txPr>
          <a:bodyPr rot="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45709327"/>
        <c:crosses val="autoZero"/>
        <c:auto val="1"/>
        <c:lblAlgn val="ctr"/>
        <c:lblOffset val="100"/>
        <c:noMultiLvlLbl val="0"/>
      </c:catAx>
      <c:valAx>
        <c:axId val="1545709327"/>
        <c:scaling>
          <c:orientation val="minMax"/>
        </c:scaling>
        <c:delete val="1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crossAx val="154571268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layout>
        <c:manualLayout>
          <c:xMode val="edge"/>
          <c:yMode val="edge"/>
          <c:x val="0.67898643745760612"/>
          <c:y val="9.8792423512374813E-2"/>
          <c:w val="0.2912958701697459"/>
          <c:h val="0.74711428946424974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1805478736299042"/>
          <c:y val="9.4636200978856402E-2"/>
          <c:w val="0.59001135566269147"/>
          <c:h val="0.8028180761224476"/>
        </c:manualLayout>
      </c:layout>
      <c:radarChart>
        <c:radarStyle val="marker"/>
        <c:varyColors val="0"/>
        <c:ser>
          <c:idx val="0"/>
          <c:order val="0"/>
          <c:tx>
            <c:strRef>
              <c:f>Sheet2!$J$52</c:f>
              <c:strCache>
                <c:ptCount val="1"/>
                <c:pt idx="0">
                  <c:v>Axsen, J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Sheet2!$K$51:$P$51</c:f>
              <c:strCache>
                <c:ptCount val="6"/>
                <c:pt idx="0">
                  <c:v>Article</c:v>
                </c:pt>
                <c:pt idx="1">
                  <c:v>Citation</c:v>
                </c:pt>
                <c:pt idx="2">
                  <c:v>H-index</c:v>
                </c:pt>
                <c:pt idx="3">
                  <c:v>Hot Articles</c:v>
                </c:pt>
                <c:pt idx="4">
                  <c:v>First Author</c:v>
                </c:pt>
                <c:pt idx="5">
                  <c:v>Citation*</c:v>
                </c:pt>
              </c:strCache>
            </c:strRef>
          </c:cat>
          <c:val>
            <c:numRef>
              <c:f>Sheet2!$K$52:$P$52</c:f>
              <c:numCache>
                <c:formatCode>General</c:formatCode>
                <c:ptCount val="6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0.25</c:v>
                </c:pt>
                <c:pt idx="5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25A-42FD-99B2-C97CFE481EC0}"/>
            </c:ext>
          </c:extLst>
        </c:ser>
        <c:ser>
          <c:idx val="1"/>
          <c:order val="1"/>
          <c:tx>
            <c:strRef>
              <c:f>Sheet2!$J$53</c:f>
              <c:strCache>
                <c:ptCount val="1"/>
                <c:pt idx="0">
                  <c:v>Shi, XM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Sheet2!$K$51:$P$51</c:f>
              <c:strCache>
                <c:ptCount val="6"/>
                <c:pt idx="0">
                  <c:v>Article</c:v>
                </c:pt>
                <c:pt idx="1">
                  <c:v>Citation</c:v>
                </c:pt>
                <c:pt idx="2">
                  <c:v>H-index</c:v>
                </c:pt>
                <c:pt idx="3">
                  <c:v>Hot Articles</c:v>
                </c:pt>
                <c:pt idx="4">
                  <c:v>First Author</c:v>
                </c:pt>
                <c:pt idx="5">
                  <c:v>Citation*</c:v>
                </c:pt>
              </c:strCache>
            </c:strRef>
          </c:cat>
          <c:val>
            <c:numRef>
              <c:f>Sheet2!$K$53:$P$53</c:f>
              <c:numCache>
                <c:formatCode>General</c:formatCode>
                <c:ptCount val="6"/>
                <c:pt idx="0">
                  <c:v>0.8214285714285714</c:v>
                </c:pt>
                <c:pt idx="1">
                  <c:v>0.81388621022179364</c:v>
                </c:pt>
                <c:pt idx="2">
                  <c:v>0.8</c:v>
                </c:pt>
                <c:pt idx="3">
                  <c:v>0.625</c:v>
                </c:pt>
                <c:pt idx="4">
                  <c:v>0</c:v>
                </c:pt>
                <c:pt idx="5">
                  <c:v>0.8586387434554974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25A-42FD-99B2-C97CFE481EC0}"/>
            </c:ext>
          </c:extLst>
        </c:ser>
        <c:ser>
          <c:idx val="2"/>
          <c:order val="2"/>
          <c:tx>
            <c:strRef>
              <c:f>Sheet2!$J$54</c:f>
              <c:strCache>
                <c:ptCount val="1"/>
                <c:pt idx="0">
                  <c:v>Ramachandra, TV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Sheet2!$K$51:$P$51</c:f>
              <c:strCache>
                <c:ptCount val="6"/>
                <c:pt idx="0">
                  <c:v>Article</c:v>
                </c:pt>
                <c:pt idx="1">
                  <c:v>Citation</c:v>
                </c:pt>
                <c:pt idx="2">
                  <c:v>H-index</c:v>
                </c:pt>
                <c:pt idx="3">
                  <c:v>Hot Articles</c:v>
                </c:pt>
                <c:pt idx="4">
                  <c:v>First Author</c:v>
                </c:pt>
                <c:pt idx="5">
                  <c:v>Citation*</c:v>
                </c:pt>
              </c:strCache>
            </c:strRef>
          </c:cat>
          <c:val>
            <c:numRef>
              <c:f>Sheet2!$K$54:$P$54</c:f>
              <c:numCache>
                <c:formatCode>General</c:formatCode>
                <c:ptCount val="6"/>
                <c:pt idx="0">
                  <c:v>0.6785714285714286</c:v>
                </c:pt>
                <c:pt idx="1">
                  <c:v>0.23915139826422371</c:v>
                </c:pt>
                <c:pt idx="2">
                  <c:v>0.45</c:v>
                </c:pt>
                <c:pt idx="3">
                  <c:v>0</c:v>
                </c:pt>
                <c:pt idx="4">
                  <c:v>1</c:v>
                </c:pt>
                <c:pt idx="5">
                  <c:v>0.23664921465968586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825A-42FD-99B2-C97CFE481EC0}"/>
            </c:ext>
          </c:extLst>
        </c:ser>
        <c:ser>
          <c:idx val="3"/>
          <c:order val="3"/>
          <c:tx>
            <c:strRef>
              <c:f>Sheet2!$J$55</c:f>
              <c:strCache>
                <c:ptCount val="1"/>
                <c:pt idx="0">
                  <c:v>Long, Z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Sheet2!$K$51:$P$51</c:f>
              <c:strCache>
                <c:ptCount val="6"/>
                <c:pt idx="0">
                  <c:v>Article</c:v>
                </c:pt>
                <c:pt idx="1">
                  <c:v>Citation</c:v>
                </c:pt>
                <c:pt idx="2">
                  <c:v>H-index</c:v>
                </c:pt>
                <c:pt idx="3">
                  <c:v>Hot Articles</c:v>
                </c:pt>
                <c:pt idx="4">
                  <c:v>First Author</c:v>
                </c:pt>
                <c:pt idx="5">
                  <c:v>Citation*</c:v>
                </c:pt>
              </c:strCache>
            </c:strRef>
          </c:cat>
          <c:val>
            <c:numRef>
              <c:f>Sheet2!$K$55:$P$55</c:f>
              <c:numCache>
                <c:formatCode>General</c:formatCode>
                <c:ptCount val="6"/>
                <c:pt idx="0">
                  <c:v>0.42857142857142855</c:v>
                </c:pt>
                <c:pt idx="1">
                  <c:v>0.44648023143683702</c:v>
                </c:pt>
                <c:pt idx="2">
                  <c:v>0.55000000000000004</c:v>
                </c:pt>
                <c:pt idx="3">
                  <c:v>0.5</c:v>
                </c:pt>
                <c:pt idx="4">
                  <c:v>0.4375</c:v>
                </c:pt>
                <c:pt idx="5">
                  <c:v>0.4607329842931937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825A-42FD-99B2-C97CFE481EC0}"/>
            </c:ext>
          </c:extLst>
        </c:ser>
        <c:ser>
          <c:idx val="4"/>
          <c:order val="4"/>
          <c:tx>
            <c:strRef>
              <c:f>Sheet2!$J$56</c:f>
              <c:strCache>
                <c:ptCount val="1"/>
                <c:pt idx="0">
                  <c:v>Zhao, S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strRef>
              <c:f>Sheet2!$K$51:$P$51</c:f>
              <c:strCache>
                <c:ptCount val="6"/>
                <c:pt idx="0">
                  <c:v>Article</c:v>
                </c:pt>
                <c:pt idx="1">
                  <c:v>Citation</c:v>
                </c:pt>
                <c:pt idx="2">
                  <c:v>H-index</c:v>
                </c:pt>
                <c:pt idx="3">
                  <c:v>Hot Articles</c:v>
                </c:pt>
                <c:pt idx="4">
                  <c:v>First Author</c:v>
                </c:pt>
                <c:pt idx="5">
                  <c:v>Citation*</c:v>
                </c:pt>
              </c:strCache>
            </c:strRef>
          </c:cat>
          <c:val>
            <c:numRef>
              <c:f>Sheet2!$K$56:$P$56</c:f>
              <c:numCache>
                <c:formatCode>General</c:formatCode>
                <c:ptCount val="6"/>
                <c:pt idx="0">
                  <c:v>0.35714285714285715</c:v>
                </c:pt>
                <c:pt idx="1">
                  <c:v>0.35969141755062684</c:v>
                </c:pt>
                <c:pt idx="2">
                  <c:v>0.4</c:v>
                </c:pt>
                <c:pt idx="3">
                  <c:v>0.375</c:v>
                </c:pt>
                <c:pt idx="4">
                  <c:v>0.3125</c:v>
                </c:pt>
                <c:pt idx="5">
                  <c:v>0.38952879581151834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825A-42FD-99B2-C97CFE481EC0}"/>
            </c:ext>
          </c:extLst>
        </c:ser>
        <c:ser>
          <c:idx val="5"/>
          <c:order val="5"/>
          <c:tx>
            <c:strRef>
              <c:f>Sheet2!$J$57</c:f>
              <c:strCache>
                <c:ptCount val="1"/>
                <c:pt idx="0">
                  <c:v>Du, S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strRef>
              <c:f>Sheet2!$K$51:$P$51</c:f>
              <c:strCache>
                <c:ptCount val="6"/>
                <c:pt idx="0">
                  <c:v>Article</c:v>
                </c:pt>
                <c:pt idx="1">
                  <c:v>Citation</c:v>
                </c:pt>
                <c:pt idx="2">
                  <c:v>H-index</c:v>
                </c:pt>
                <c:pt idx="3">
                  <c:v>Hot Articles</c:v>
                </c:pt>
                <c:pt idx="4">
                  <c:v>First Author</c:v>
                </c:pt>
                <c:pt idx="5">
                  <c:v>Citation*</c:v>
                </c:pt>
              </c:strCache>
            </c:strRef>
          </c:cat>
          <c:val>
            <c:numRef>
              <c:f>Sheet2!$K$57:$P$57</c:f>
              <c:numCache>
                <c:formatCode>General</c:formatCode>
                <c:ptCount val="6"/>
                <c:pt idx="0">
                  <c:v>0.32142857142857145</c:v>
                </c:pt>
                <c:pt idx="1">
                  <c:v>0.31822565091610416</c:v>
                </c:pt>
                <c:pt idx="2">
                  <c:v>0.45</c:v>
                </c:pt>
                <c:pt idx="3">
                  <c:v>0.25</c:v>
                </c:pt>
                <c:pt idx="4">
                  <c:v>0.4375</c:v>
                </c:pt>
                <c:pt idx="5">
                  <c:v>0.33612565445026177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825A-42FD-99B2-C97CFE481EC0}"/>
            </c:ext>
          </c:extLst>
        </c:ser>
        <c:ser>
          <c:idx val="6"/>
          <c:order val="6"/>
          <c:tx>
            <c:strRef>
              <c:f>Sheet2!$J$58</c:f>
              <c:strCache>
                <c:ptCount val="1"/>
                <c:pt idx="0">
                  <c:v>Haselbach, L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Sheet2!$K$51:$P$51</c:f>
              <c:strCache>
                <c:ptCount val="6"/>
                <c:pt idx="0">
                  <c:v>Article</c:v>
                </c:pt>
                <c:pt idx="1">
                  <c:v>Citation</c:v>
                </c:pt>
                <c:pt idx="2">
                  <c:v>H-index</c:v>
                </c:pt>
                <c:pt idx="3">
                  <c:v>Hot Articles</c:v>
                </c:pt>
                <c:pt idx="4">
                  <c:v>First Author</c:v>
                </c:pt>
                <c:pt idx="5">
                  <c:v>Citation*</c:v>
                </c:pt>
              </c:strCache>
            </c:strRef>
          </c:cat>
          <c:val>
            <c:numRef>
              <c:f>Sheet2!$K$58:$P$58</c:f>
              <c:numCache>
                <c:formatCode>General</c:formatCode>
                <c:ptCount val="6"/>
                <c:pt idx="0">
                  <c:v>0.32142857142857145</c:v>
                </c:pt>
                <c:pt idx="1">
                  <c:v>7.5216972034715529E-2</c:v>
                </c:pt>
                <c:pt idx="2">
                  <c:v>0.2</c:v>
                </c:pt>
                <c:pt idx="3">
                  <c:v>0</c:v>
                </c:pt>
                <c:pt idx="4">
                  <c:v>0.1875</c:v>
                </c:pt>
                <c:pt idx="5">
                  <c:v>8.0628272251308905E-2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825A-42FD-99B2-C97CFE481EC0}"/>
            </c:ext>
          </c:extLst>
        </c:ser>
        <c:ser>
          <c:idx val="7"/>
          <c:order val="7"/>
          <c:tx>
            <c:strRef>
              <c:f>Sheet2!$J$59</c:f>
              <c:strCache>
                <c:ptCount val="1"/>
                <c:pt idx="0">
                  <c:v>Suarez-Bertoa, R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Sheet2!$K$51:$P$51</c:f>
              <c:strCache>
                <c:ptCount val="6"/>
                <c:pt idx="0">
                  <c:v>Article</c:v>
                </c:pt>
                <c:pt idx="1">
                  <c:v>Citation</c:v>
                </c:pt>
                <c:pt idx="2">
                  <c:v>H-index</c:v>
                </c:pt>
                <c:pt idx="3">
                  <c:v>Hot Articles</c:v>
                </c:pt>
                <c:pt idx="4">
                  <c:v>First Author</c:v>
                </c:pt>
                <c:pt idx="5">
                  <c:v>Citation*</c:v>
                </c:pt>
              </c:strCache>
            </c:strRef>
          </c:cat>
          <c:val>
            <c:numRef>
              <c:f>Sheet2!$K$59:$P$59</c:f>
              <c:numCache>
                <c:formatCode>General</c:formatCode>
                <c:ptCount val="6"/>
                <c:pt idx="0">
                  <c:v>0.2857142857142857</c:v>
                </c:pt>
                <c:pt idx="1">
                  <c:v>0.6518804243008679</c:v>
                </c:pt>
                <c:pt idx="2">
                  <c:v>0.4</c:v>
                </c:pt>
                <c:pt idx="3">
                  <c:v>0.625</c:v>
                </c:pt>
                <c:pt idx="4">
                  <c:v>0.3125</c:v>
                </c:pt>
                <c:pt idx="5">
                  <c:v>0.70052356020942408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825A-42FD-99B2-C97CFE481EC0}"/>
            </c:ext>
          </c:extLst>
        </c:ser>
        <c:ser>
          <c:idx val="8"/>
          <c:order val="8"/>
          <c:tx>
            <c:strRef>
              <c:f>Sheet2!$J$60</c:f>
              <c:strCache>
                <c:ptCount val="1"/>
                <c:pt idx="0">
                  <c:v>Banister, D</c:v>
                </c:pt>
              </c:strCache>
            </c:strRef>
          </c:tx>
          <c:spPr>
            <a:ln w="28575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Sheet2!$K$51:$P$51</c:f>
              <c:strCache>
                <c:ptCount val="6"/>
                <c:pt idx="0">
                  <c:v>Article</c:v>
                </c:pt>
                <c:pt idx="1">
                  <c:v>Citation</c:v>
                </c:pt>
                <c:pt idx="2">
                  <c:v>H-index</c:v>
                </c:pt>
                <c:pt idx="3">
                  <c:v>Hot Articles</c:v>
                </c:pt>
                <c:pt idx="4">
                  <c:v>First Author</c:v>
                </c:pt>
                <c:pt idx="5">
                  <c:v>Citation*</c:v>
                </c:pt>
              </c:strCache>
            </c:strRef>
          </c:cat>
          <c:val>
            <c:numRef>
              <c:f>Sheet2!$K$60:$P$60</c:f>
              <c:numCache>
                <c:formatCode>General</c:formatCode>
                <c:ptCount val="6"/>
                <c:pt idx="0">
                  <c:v>0.2857142857142857</c:v>
                </c:pt>
                <c:pt idx="1">
                  <c:v>0.61523625843780139</c:v>
                </c:pt>
                <c:pt idx="2">
                  <c:v>0.35</c:v>
                </c:pt>
                <c:pt idx="3">
                  <c:v>0.375</c:v>
                </c:pt>
                <c:pt idx="4">
                  <c:v>6.25E-2</c:v>
                </c:pt>
                <c:pt idx="5">
                  <c:v>0.6628272251308901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825A-42FD-99B2-C97CFE481EC0}"/>
            </c:ext>
          </c:extLst>
        </c:ser>
        <c:ser>
          <c:idx val="9"/>
          <c:order val="9"/>
          <c:tx>
            <c:strRef>
              <c:f>Sheet2!$J$61</c:f>
              <c:strCache>
                <c:ptCount val="1"/>
                <c:pt idx="0">
                  <c:v>Setturu, B</c:v>
                </c:pt>
              </c:strCache>
            </c:strRef>
          </c:tx>
          <c:spPr>
            <a:ln w="28575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Sheet2!$K$51:$P$51</c:f>
              <c:strCache>
                <c:ptCount val="6"/>
                <c:pt idx="0">
                  <c:v>Article</c:v>
                </c:pt>
                <c:pt idx="1">
                  <c:v>Citation</c:v>
                </c:pt>
                <c:pt idx="2">
                  <c:v>H-index</c:v>
                </c:pt>
                <c:pt idx="3">
                  <c:v>Hot Articles</c:v>
                </c:pt>
                <c:pt idx="4">
                  <c:v>First Author</c:v>
                </c:pt>
                <c:pt idx="5">
                  <c:v>Citation*</c:v>
                </c:pt>
              </c:strCache>
            </c:strRef>
          </c:cat>
          <c:val>
            <c:numRef>
              <c:f>Sheet2!$K$61:$P$61</c:f>
              <c:numCache>
                <c:formatCode>General</c:formatCode>
                <c:ptCount val="6"/>
                <c:pt idx="0">
                  <c:v>0.2857142857142857</c:v>
                </c:pt>
                <c:pt idx="1">
                  <c:v>0.13500482160077146</c:v>
                </c:pt>
                <c:pt idx="2">
                  <c:v>0.3</c:v>
                </c:pt>
                <c:pt idx="3">
                  <c:v>0</c:v>
                </c:pt>
                <c:pt idx="4">
                  <c:v>6.25E-2</c:v>
                </c:pt>
                <c:pt idx="5">
                  <c:v>0.13821989528795811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825A-42FD-99B2-C97CFE481EC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78765551"/>
        <c:axId val="278785711"/>
      </c:radarChart>
      <c:catAx>
        <c:axId val="27876555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78785711"/>
        <c:crosses val="autoZero"/>
        <c:auto val="1"/>
        <c:lblAlgn val="ctr"/>
        <c:lblOffset val="100"/>
        <c:noMultiLvlLbl val="0"/>
      </c:catAx>
      <c:valAx>
        <c:axId val="278785711"/>
        <c:scaling>
          <c:orientation val="minMax"/>
        </c:scaling>
        <c:delete val="1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crossAx val="27876555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layout>
        <c:manualLayout>
          <c:xMode val="edge"/>
          <c:yMode val="edge"/>
          <c:x val="0.767539853034373"/>
          <c:y val="0.18583554376657824"/>
          <c:w val="0.1727484819460178"/>
          <c:h val="0.51083133175992257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-5400000" spcFirstLastPara="1" vertOverflow="ellipsis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SROS Score </a:t>
            </a:r>
          </a:p>
        </c:rich>
      </c:tx>
      <c:layout>
        <c:manualLayout>
          <c:xMode val="edge"/>
          <c:yMode val="edge"/>
          <c:x val="3.0380977511116954E-2"/>
          <c:y val="0.16666666666666666"/>
        </c:manualLayout>
      </c:layout>
      <c:overlay val="0"/>
      <c:spPr>
        <a:noFill/>
        <a:ln>
          <a:noFill/>
        </a:ln>
        <a:effectLst/>
      </c:spPr>
      <c:txPr>
        <a:bodyPr rot="-5400000" spcFirstLastPara="1" vertOverflow="ellipsis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>
        <c:manualLayout>
          <c:layoutTarget val="inner"/>
          <c:xMode val="edge"/>
          <c:yMode val="edge"/>
          <c:x val="6.7272733712427771E-2"/>
          <c:y val="6.5324074074074076E-2"/>
          <c:w val="0.90180261706208309"/>
          <c:h val="0.48323016914552347"/>
        </c:manualLayout>
      </c:layout>
      <c:bar3DChart>
        <c:barDir val="col"/>
        <c:grouping val="stacked"/>
        <c:varyColors val="0"/>
        <c:ser>
          <c:idx val="0"/>
          <c:order val="0"/>
          <c:tx>
            <c:strRef>
              <c:f>Sheet2!$M$3</c:f>
              <c:strCache>
                <c:ptCount val="1"/>
                <c:pt idx="0">
                  <c:v>Articles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  <a:sp3d/>
          </c:spPr>
          <c:invertIfNegative val="0"/>
          <c:cat>
            <c:strRef>
              <c:f>Sheet2!$L$4:$L$13</c:f>
              <c:strCache>
                <c:ptCount val="10"/>
                <c:pt idx="0">
                  <c:v>China</c:v>
                </c:pt>
                <c:pt idx="1">
                  <c:v>USA</c:v>
                </c:pt>
                <c:pt idx="2">
                  <c:v>UK</c:v>
                </c:pt>
                <c:pt idx="3">
                  <c:v>Germany</c:v>
                </c:pt>
                <c:pt idx="4">
                  <c:v>India</c:v>
                </c:pt>
                <c:pt idx="5">
                  <c:v>Italy</c:v>
                </c:pt>
                <c:pt idx="6">
                  <c:v>Canada</c:v>
                </c:pt>
                <c:pt idx="7">
                  <c:v>Sweden</c:v>
                </c:pt>
                <c:pt idx="8">
                  <c:v>Spain</c:v>
                </c:pt>
                <c:pt idx="9">
                  <c:v>Australia</c:v>
                </c:pt>
              </c:strCache>
            </c:strRef>
          </c:cat>
          <c:val>
            <c:numRef>
              <c:f>Sheet2!$M$4:$M$13</c:f>
              <c:numCache>
                <c:formatCode>General</c:formatCode>
                <c:ptCount val="10"/>
                <c:pt idx="0">
                  <c:v>1</c:v>
                </c:pt>
                <c:pt idx="1">
                  <c:v>0.77040816326530615</c:v>
                </c:pt>
                <c:pt idx="2">
                  <c:v>0.38775510204081631</c:v>
                </c:pt>
                <c:pt idx="3">
                  <c:v>0.31122448979591838</c:v>
                </c:pt>
                <c:pt idx="4">
                  <c:v>0.30612244897959184</c:v>
                </c:pt>
                <c:pt idx="5">
                  <c:v>0.2857142857142857</c:v>
                </c:pt>
                <c:pt idx="6">
                  <c:v>0.28061224489795916</c:v>
                </c:pt>
                <c:pt idx="7">
                  <c:v>0.23469387755102042</c:v>
                </c:pt>
                <c:pt idx="8">
                  <c:v>0.15306122448979592</c:v>
                </c:pt>
                <c:pt idx="9">
                  <c:v>0.12755102040816327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E1F-4346-AF6C-D74E651199F7}"/>
            </c:ext>
          </c:extLst>
        </c:ser>
        <c:ser>
          <c:idx val="1"/>
          <c:order val="1"/>
          <c:tx>
            <c:strRef>
              <c:f>Sheet2!$N$3</c:f>
              <c:strCache>
                <c:ptCount val="1"/>
                <c:pt idx="0">
                  <c:v>% Articles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  <a:sp3d/>
          </c:spPr>
          <c:invertIfNegative val="0"/>
          <c:cat>
            <c:strRef>
              <c:f>Sheet2!$L$4:$L$13</c:f>
              <c:strCache>
                <c:ptCount val="10"/>
                <c:pt idx="0">
                  <c:v>China</c:v>
                </c:pt>
                <c:pt idx="1">
                  <c:v>USA</c:v>
                </c:pt>
                <c:pt idx="2">
                  <c:v>UK</c:v>
                </c:pt>
                <c:pt idx="3">
                  <c:v>Germany</c:v>
                </c:pt>
                <c:pt idx="4">
                  <c:v>India</c:v>
                </c:pt>
                <c:pt idx="5">
                  <c:v>Italy</c:v>
                </c:pt>
                <c:pt idx="6">
                  <c:v>Canada</c:v>
                </c:pt>
                <c:pt idx="7">
                  <c:v>Sweden</c:v>
                </c:pt>
                <c:pt idx="8">
                  <c:v>Spain</c:v>
                </c:pt>
                <c:pt idx="9">
                  <c:v>Australia</c:v>
                </c:pt>
              </c:strCache>
            </c:strRef>
          </c:cat>
          <c:val>
            <c:numRef>
              <c:f>Sheet2!$N$4:$N$13</c:f>
              <c:numCache>
                <c:formatCode>General</c:formatCode>
                <c:ptCount val="10"/>
                <c:pt idx="0">
                  <c:v>1</c:v>
                </c:pt>
                <c:pt idx="1">
                  <c:v>0.77040816326530603</c:v>
                </c:pt>
                <c:pt idx="2">
                  <c:v>0.38775510204081626</c:v>
                </c:pt>
                <c:pt idx="3">
                  <c:v>0.31122448979591838</c:v>
                </c:pt>
                <c:pt idx="4">
                  <c:v>0.30612244897959179</c:v>
                </c:pt>
                <c:pt idx="5">
                  <c:v>0.2857142857142857</c:v>
                </c:pt>
                <c:pt idx="6">
                  <c:v>0.28061224489795916</c:v>
                </c:pt>
                <c:pt idx="7">
                  <c:v>0.23469387755102042</c:v>
                </c:pt>
                <c:pt idx="8">
                  <c:v>0.15306122448979589</c:v>
                </c:pt>
                <c:pt idx="9">
                  <c:v>0.12755102040816327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E1F-4346-AF6C-D74E651199F7}"/>
            </c:ext>
          </c:extLst>
        </c:ser>
        <c:ser>
          <c:idx val="2"/>
          <c:order val="2"/>
          <c:tx>
            <c:strRef>
              <c:f>Sheet2!$O$3</c:f>
              <c:strCache>
                <c:ptCount val="1"/>
                <c:pt idx="0">
                  <c:v>Citation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  <a:sp3d/>
          </c:spPr>
          <c:invertIfNegative val="0"/>
          <c:cat>
            <c:strRef>
              <c:f>Sheet2!$L$4:$L$13</c:f>
              <c:strCache>
                <c:ptCount val="10"/>
                <c:pt idx="0">
                  <c:v>China</c:v>
                </c:pt>
                <c:pt idx="1">
                  <c:v>USA</c:v>
                </c:pt>
                <c:pt idx="2">
                  <c:v>UK</c:v>
                </c:pt>
                <c:pt idx="3">
                  <c:v>Germany</c:v>
                </c:pt>
                <c:pt idx="4">
                  <c:v>India</c:v>
                </c:pt>
                <c:pt idx="5">
                  <c:v>Italy</c:v>
                </c:pt>
                <c:pt idx="6">
                  <c:v>Canada</c:v>
                </c:pt>
                <c:pt idx="7">
                  <c:v>Sweden</c:v>
                </c:pt>
                <c:pt idx="8">
                  <c:v>Spain</c:v>
                </c:pt>
                <c:pt idx="9">
                  <c:v>Australia</c:v>
                </c:pt>
              </c:strCache>
            </c:strRef>
          </c:cat>
          <c:val>
            <c:numRef>
              <c:f>Sheet2!$O$4:$O$13</c:f>
              <c:numCache>
                <c:formatCode>General</c:formatCode>
                <c:ptCount val="10"/>
                <c:pt idx="0">
                  <c:v>0.70416047548291238</c:v>
                </c:pt>
                <c:pt idx="1">
                  <c:v>1</c:v>
                </c:pt>
                <c:pt idx="2">
                  <c:v>0.56404160475482912</c:v>
                </c:pt>
                <c:pt idx="3">
                  <c:v>0.42154531946508172</c:v>
                </c:pt>
                <c:pt idx="4">
                  <c:v>0.32704309063893017</c:v>
                </c:pt>
                <c:pt idx="5">
                  <c:v>0.62555720653789004</c:v>
                </c:pt>
                <c:pt idx="6">
                  <c:v>0.26508172362555721</c:v>
                </c:pt>
                <c:pt idx="7">
                  <c:v>0.33521545319465079</c:v>
                </c:pt>
                <c:pt idx="8">
                  <c:v>0.17473997028231797</c:v>
                </c:pt>
                <c:pt idx="9">
                  <c:v>0.18098068350668647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AE1F-4346-AF6C-D74E651199F7}"/>
            </c:ext>
          </c:extLst>
        </c:ser>
        <c:ser>
          <c:idx val="3"/>
          <c:order val="3"/>
          <c:tx>
            <c:strRef>
              <c:f>Sheet2!$P$3</c:f>
              <c:strCache>
                <c:ptCount val="1"/>
                <c:pt idx="0">
                  <c:v>Author 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  <a:sp3d/>
          </c:spPr>
          <c:invertIfNegative val="0"/>
          <c:cat>
            <c:strRef>
              <c:f>Sheet2!$L$4:$L$13</c:f>
              <c:strCache>
                <c:ptCount val="10"/>
                <c:pt idx="0">
                  <c:v>China</c:v>
                </c:pt>
                <c:pt idx="1">
                  <c:v>USA</c:v>
                </c:pt>
                <c:pt idx="2">
                  <c:v>UK</c:v>
                </c:pt>
                <c:pt idx="3">
                  <c:v>Germany</c:v>
                </c:pt>
                <c:pt idx="4">
                  <c:v>India</c:v>
                </c:pt>
                <c:pt idx="5">
                  <c:v>Italy</c:v>
                </c:pt>
                <c:pt idx="6">
                  <c:v>Canada</c:v>
                </c:pt>
                <c:pt idx="7">
                  <c:v>Sweden</c:v>
                </c:pt>
                <c:pt idx="8">
                  <c:v>Spain</c:v>
                </c:pt>
                <c:pt idx="9">
                  <c:v>Australia</c:v>
                </c:pt>
              </c:strCache>
            </c:strRef>
          </c:cat>
          <c:val>
            <c:numRef>
              <c:f>Sheet2!$P$4:$P$13</c:f>
              <c:numCache>
                <c:formatCode>General</c:formatCode>
                <c:ptCount val="10"/>
                <c:pt idx="0">
                  <c:v>1</c:v>
                </c:pt>
                <c:pt idx="1">
                  <c:v>0.77900552486187846</c:v>
                </c:pt>
                <c:pt idx="2">
                  <c:v>0.39779005524861877</c:v>
                </c:pt>
                <c:pt idx="3">
                  <c:v>0.33701657458563539</c:v>
                </c:pt>
                <c:pt idx="4">
                  <c:v>0.32596685082872928</c:v>
                </c:pt>
                <c:pt idx="5">
                  <c:v>0.30386740331491713</c:v>
                </c:pt>
                <c:pt idx="6">
                  <c:v>0.29281767955801102</c:v>
                </c:pt>
                <c:pt idx="7">
                  <c:v>0.24309392265193369</c:v>
                </c:pt>
                <c:pt idx="8">
                  <c:v>0.15469613259668508</c:v>
                </c:pt>
                <c:pt idx="9">
                  <c:v>0.13812154696132597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AE1F-4346-AF6C-D74E651199F7}"/>
            </c:ext>
          </c:extLst>
        </c:ser>
        <c:ser>
          <c:idx val="4"/>
          <c:order val="4"/>
          <c:tx>
            <c:strRef>
              <c:f>Sheet2!$Q$3</c:f>
              <c:strCache>
                <c:ptCount val="1"/>
                <c:pt idx="0">
                  <c:v>Inst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  <a:sp3d/>
          </c:spPr>
          <c:invertIfNegative val="0"/>
          <c:cat>
            <c:strRef>
              <c:f>Sheet2!$L$4:$L$13</c:f>
              <c:strCache>
                <c:ptCount val="10"/>
                <c:pt idx="0">
                  <c:v>China</c:v>
                </c:pt>
                <c:pt idx="1">
                  <c:v>USA</c:v>
                </c:pt>
                <c:pt idx="2">
                  <c:v>UK</c:v>
                </c:pt>
                <c:pt idx="3">
                  <c:v>Germany</c:v>
                </c:pt>
                <c:pt idx="4">
                  <c:v>India</c:v>
                </c:pt>
                <c:pt idx="5">
                  <c:v>Italy</c:v>
                </c:pt>
                <c:pt idx="6">
                  <c:v>Canada</c:v>
                </c:pt>
                <c:pt idx="7">
                  <c:v>Sweden</c:v>
                </c:pt>
                <c:pt idx="8">
                  <c:v>Spain</c:v>
                </c:pt>
                <c:pt idx="9">
                  <c:v>Australia</c:v>
                </c:pt>
              </c:strCache>
            </c:strRef>
          </c:cat>
          <c:val>
            <c:numRef>
              <c:f>Sheet2!$Q$4:$Q$13</c:f>
              <c:numCache>
                <c:formatCode>General</c:formatCode>
                <c:ptCount val="10"/>
                <c:pt idx="0">
                  <c:v>1</c:v>
                </c:pt>
                <c:pt idx="1">
                  <c:v>0.59880239520958078</c:v>
                </c:pt>
                <c:pt idx="2">
                  <c:v>0.41317365269461076</c:v>
                </c:pt>
                <c:pt idx="3">
                  <c:v>0.31137724550898205</c:v>
                </c:pt>
                <c:pt idx="4">
                  <c:v>0.31736526946107785</c:v>
                </c:pt>
                <c:pt idx="5">
                  <c:v>0.19760479041916168</c:v>
                </c:pt>
                <c:pt idx="6">
                  <c:v>0.19161676646706588</c:v>
                </c:pt>
                <c:pt idx="7">
                  <c:v>0.19161676646706588</c:v>
                </c:pt>
                <c:pt idx="8">
                  <c:v>0.1497005988023952</c:v>
                </c:pt>
                <c:pt idx="9">
                  <c:v>0.1317365269461078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AE1F-4346-AF6C-D74E651199F7}"/>
            </c:ext>
          </c:extLst>
        </c:ser>
        <c:ser>
          <c:idx val="5"/>
          <c:order val="5"/>
          <c:tx>
            <c:strRef>
              <c:f>Sheet2!$R$3</c:f>
              <c:strCache>
                <c:ptCount val="1"/>
                <c:pt idx="0">
                  <c:v>Articles*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  <a:sp3d/>
          </c:spPr>
          <c:invertIfNegative val="0"/>
          <c:cat>
            <c:strRef>
              <c:f>Sheet2!$L$4:$L$13</c:f>
              <c:strCache>
                <c:ptCount val="10"/>
                <c:pt idx="0">
                  <c:v>China</c:v>
                </c:pt>
                <c:pt idx="1">
                  <c:v>USA</c:v>
                </c:pt>
                <c:pt idx="2">
                  <c:v>UK</c:v>
                </c:pt>
                <c:pt idx="3">
                  <c:v>Germany</c:v>
                </c:pt>
                <c:pt idx="4">
                  <c:v>India</c:v>
                </c:pt>
                <c:pt idx="5">
                  <c:v>Italy</c:v>
                </c:pt>
                <c:pt idx="6">
                  <c:v>Canada</c:v>
                </c:pt>
                <c:pt idx="7">
                  <c:v>Sweden</c:v>
                </c:pt>
                <c:pt idx="8">
                  <c:v>Spain</c:v>
                </c:pt>
                <c:pt idx="9">
                  <c:v>Australia</c:v>
                </c:pt>
              </c:strCache>
            </c:strRef>
          </c:cat>
          <c:val>
            <c:numRef>
              <c:f>Sheet2!$R$4:$R$13</c:f>
              <c:numCache>
                <c:formatCode>General</c:formatCode>
                <c:ptCount val="10"/>
                <c:pt idx="0">
                  <c:v>0.48275862068965519</c:v>
                </c:pt>
                <c:pt idx="1">
                  <c:v>1</c:v>
                </c:pt>
                <c:pt idx="2">
                  <c:v>0.48275862068965519</c:v>
                </c:pt>
                <c:pt idx="3">
                  <c:v>0.2413793103448276</c:v>
                </c:pt>
                <c:pt idx="4">
                  <c:v>0.17241379310344829</c:v>
                </c:pt>
                <c:pt idx="5">
                  <c:v>0.51724137931034486</c:v>
                </c:pt>
                <c:pt idx="6">
                  <c:v>0.41379310344827586</c:v>
                </c:pt>
                <c:pt idx="7">
                  <c:v>0.27586206896551724</c:v>
                </c:pt>
                <c:pt idx="8">
                  <c:v>0.13793103448275862</c:v>
                </c:pt>
                <c:pt idx="9">
                  <c:v>0.13793103448275862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AE1F-4346-AF6C-D74E651199F7}"/>
            </c:ext>
          </c:extLst>
        </c:ser>
        <c:ser>
          <c:idx val="6"/>
          <c:order val="6"/>
          <c:tx>
            <c:strRef>
              <c:f>Sheet2!$S$3</c:f>
              <c:strCache>
                <c:ptCount val="1"/>
                <c:pt idx="0">
                  <c:v>Citations*</c:v>
                </c:pt>
              </c:strCache>
            </c:strRef>
          </c:tx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  <a:sp3d/>
          </c:spPr>
          <c:invertIfNegative val="0"/>
          <c:cat>
            <c:strRef>
              <c:f>Sheet2!$L$4:$L$13</c:f>
              <c:strCache>
                <c:ptCount val="10"/>
                <c:pt idx="0">
                  <c:v>China</c:v>
                </c:pt>
                <c:pt idx="1">
                  <c:v>USA</c:v>
                </c:pt>
                <c:pt idx="2">
                  <c:v>UK</c:v>
                </c:pt>
                <c:pt idx="3">
                  <c:v>Germany</c:v>
                </c:pt>
                <c:pt idx="4">
                  <c:v>India</c:v>
                </c:pt>
                <c:pt idx="5">
                  <c:v>Italy</c:v>
                </c:pt>
                <c:pt idx="6">
                  <c:v>Canada</c:v>
                </c:pt>
                <c:pt idx="7">
                  <c:v>Sweden</c:v>
                </c:pt>
                <c:pt idx="8">
                  <c:v>Spain</c:v>
                </c:pt>
                <c:pt idx="9">
                  <c:v>Australia</c:v>
                </c:pt>
              </c:strCache>
            </c:strRef>
          </c:cat>
          <c:val>
            <c:numRef>
              <c:f>Sheet2!$S$4:$S$13</c:f>
              <c:numCache>
                <c:formatCode>General</c:formatCode>
                <c:ptCount val="10"/>
                <c:pt idx="0">
                  <c:v>0.45982783357245338</c:v>
                </c:pt>
                <c:pt idx="1">
                  <c:v>1</c:v>
                </c:pt>
                <c:pt idx="2">
                  <c:v>0.58536585365853655</c:v>
                </c:pt>
                <c:pt idx="3">
                  <c:v>0.23457675753228122</c:v>
                </c:pt>
                <c:pt idx="4">
                  <c:v>0.30308464849354377</c:v>
                </c:pt>
                <c:pt idx="5">
                  <c:v>0.64131994261119085</c:v>
                </c:pt>
                <c:pt idx="6">
                  <c:v>0.31599713055954087</c:v>
                </c:pt>
                <c:pt idx="7">
                  <c:v>0.20086083213773315</c:v>
                </c:pt>
                <c:pt idx="8">
                  <c:v>9.5408895265423246E-2</c:v>
                </c:pt>
                <c:pt idx="9">
                  <c:v>9.4691535150645628E-2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AE1F-4346-AF6C-D74E651199F7}"/>
            </c:ext>
          </c:extLst>
        </c:ser>
        <c:ser>
          <c:idx val="7"/>
          <c:order val="7"/>
          <c:tx>
            <c:strRef>
              <c:f>Sheet2!$T$3</c:f>
              <c:strCache>
                <c:ptCount val="1"/>
                <c:pt idx="0">
                  <c:v>Inst*</c:v>
                </c:pt>
              </c:strCache>
            </c:strRef>
          </c:tx>
          <c:spPr>
            <a:solidFill>
              <a:schemeClr val="accent2">
                <a:lumMod val="60000"/>
              </a:schemeClr>
            </a:solidFill>
            <a:ln>
              <a:noFill/>
            </a:ln>
            <a:effectLst/>
            <a:sp3d/>
          </c:spPr>
          <c:invertIfNegative val="0"/>
          <c:cat>
            <c:strRef>
              <c:f>Sheet2!$L$4:$L$13</c:f>
              <c:strCache>
                <c:ptCount val="10"/>
                <c:pt idx="0">
                  <c:v>China</c:v>
                </c:pt>
                <c:pt idx="1">
                  <c:v>USA</c:v>
                </c:pt>
                <c:pt idx="2">
                  <c:v>UK</c:v>
                </c:pt>
                <c:pt idx="3">
                  <c:v>Germany</c:v>
                </c:pt>
                <c:pt idx="4">
                  <c:v>India</c:v>
                </c:pt>
                <c:pt idx="5">
                  <c:v>Italy</c:v>
                </c:pt>
                <c:pt idx="6">
                  <c:v>Canada</c:v>
                </c:pt>
                <c:pt idx="7">
                  <c:v>Sweden</c:v>
                </c:pt>
                <c:pt idx="8">
                  <c:v>Spain</c:v>
                </c:pt>
                <c:pt idx="9">
                  <c:v>Australia</c:v>
                </c:pt>
              </c:strCache>
            </c:strRef>
          </c:cat>
          <c:val>
            <c:numRef>
              <c:f>Sheet2!$T$4:$T$13</c:f>
              <c:numCache>
                <c:formatCode>General</c:formatCode>
                <c:ptCount val="10"/>
                <c:pt idx="0">
                  <c:v>0.61904761904761907</c:v>
                </c:pt>
                <c:pt idx="1">
                  <c:v>1</c:v>
                </c:pt>
                <c:pt idx="2">
                  <c:v>0.66666666666666663</c:v>
                </c:pt>
                <c:pt idx="3">
                  <c:v>0.33333333333333331</c:v>
                </c:pt>
                <c:pt idx="4">
                  <c:v>0.23809523809523808</c:v>
                </c:pt>
                <c:pt idx="5">
                  <c:v>0.2857142857142857</c:v>
                </c:pt>
                <c:pt idx="6">
                  <c:v>0.42857142857142855</c:v>
                </c:pt>
                <c:pt idx="7">
                  <c:v>0.33333333333333331</c:v>
                </c:pt>
                <c:pt idx="8">
                  <c:v>0.19047619047619047</c:v>
                </c:pt>
                <c:pt idx="9">
                  <c:v>0.19047619047619047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AE1F-4346-AF6C-D74E651199F7}"/>
            </c:ext>
          </c:extLst>
        </c:ser>
        <c:ser>
          <c:idx val="8"/>
          <c:order val="8"/>
          <c:tx>
            <c:strRef>
              <c:f>Sheet2!$U$3</c:f>
              <c:strCache>
                <c:ptCount val="1"/>
                <c:pt idx="0">
                  <c:v>H- index</c:v>
                </c:pt>
              </c:strCache>
            </c:strRef>
          </c:tx>
          <c:spPr>
            <a:solidFill>
              <a:schemeClr val="accent3">
                <a:lumMod val="60000"/>
              </a:schemeClr>
            </a:solidFill>
            <a:ln>
              <a:noFill/>
            </a:ln>
            <a:effectLst/>
            <a:sp3d/>
          </c:spPr>
          <c:invertIfNegative val="0"/>
          <c:cat>
            <c:strRef>
              <c:f>Sheet2!$L$4:$L$13</c:f>
              <c:strCache>
                <c:ptCount val="10"/>
                <c:pt idx="0">
                  <c:v>China</c:v>
                </c:pt>
                <c:pt idx="1">
                  <c:v>USA</c:v>
                </c:pt>
                <c:pt idx="2">
                  <c:v>UK</c:v>
                </c:pt>
                <c:pt idx="3">
                  <c:v>Germany</c:v>
                </c:pt>
                <c:pt idx="4">
                  <c:v>India</c:v>
                </c:pt>
                <c:pt idx="5">
                  <c:v>Italy</c:v>
                </c:pt>
                <c:pt idx="6">
                  <c:v>Canada</c:v>
                </c:pt>
                <c:pt idx="7">
                  <c:v>Sweden</c:v>
                </c:pt>
                <c:pt idx="8">
                  <c:v>Spain</c:v>
                </c:pt>
                <c:pt idx="9">
                  <c:v>Australia</c:v>
                </c:pt>
              </c:strCache>
            </c:strRef>
          </c:cat>
          <c:val>
            <c:numRef>
              <c:f>Sheet2!$U$4:$U$13</c:f>
              <c:numCache>
                <c:formatCode>General</c:formatCode>
                <c:ptCount val="10"/>
                <c:pt idx="0">
                  <c:v>0.48275862068965519</c:v>
                </c:pt>
                <c:pt idx="1">
                  <c:v>1</c:v>
                </c:pt>
                <c:pt idx="2">
                  <c:v>0.48275862068965519</c:v>
                </c:pt>
                <c:pt idx="3">
                  <c:v>0.2413793103448276</c:v>
                </c:pt>
                <c:pt idx="4">
                  <c:v>0.17241379310344829</c:v>
                </c:pt>
                <c:pt idx="5">
                  <c:v>0.51724137931034486</c:v>
                </c:pt>
                <c:pt idx="6">
                  <c:v>0.41379310344827586</c:v>
                </c:pt>
                <c:pt idx="7">
                  <c:v>0.27586206896551724</c:v>
                </c:pt>
                <c:pt idx="8">
                  <c:v>0.13793103448275862</c:v>
                </c:pt>
                <c:pt idx="9">
                  <c:v>0.13793103448275862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AE1F-4346-AF6C-D74E651199F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278772751"/>
        <c:axId val="278761231"/>
        <c:axId val="0"/>
      </c:bar3DChart>
      <c:catAx>
        <c:axId val="27877275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78761231"/>
        <c:crosses val="autoZero"/>
        <c:auto val="1"/>
        <c:lblAlgn val="ctr"/>
        <c:lblOffset val="100"/>
        <c:noMultiLvlLbl val="0"/>
      </c:catAx>
      <c:valAx>
        <c:axId val="27876123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7877275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12898013738779021"/>
          <c:y val="0.74479002624671919"/>
          <c:w val="0.76453015784188894"/>
          <c:h val="0.22743219597550307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-5400000" spcFirstLastPara="1" vertOverflow="ellipsis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SROS Score </a:t>
            </a:r>
          </a:p>
        </c:rich>
      </c:tx>
      <c:layout>
        <c:manualLayout>
          <c:xMode val="edge"/>
          <c:yMode val="edge"/>
          <c:x val="3.247913576490366E-2"/>
          <c:y val="0.1388888888888889"/>
        </c:manualLayout>
      </c:layout>
      <c:overlay val="0"/>
      <c:spPr>
        <a:noFill/>
        <a:ln>
          <a:noFill/>
        </a:ln>
        <a:effectLst/>
      </c:spPr>
      <c:txPr>
        <a:bodyPr rot="-5400000" spcFirstLastPara="1" vertOverflow="ellipsis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>
        <c:manualLayout>
          <c:layoutTarget val="inner"/>
          <c:xMode val="edge"/>
          <c:yMode val="edge"/>
          <c:x val="6.5386980436897529E-2"/>
          <c:y val="7.4583333333333335E-2"/>
          <c:w val="0.9346130195631025"/>
          <c:h val="0.47937080781568969"/>
        </c:manualLayout>
      </c:layout>
      <c:bar3DChart>
        <c:barDir val="col"/>
        <c:grouping val="stacked"/>
        <c:varyColors val="0"/>
        <c:ser>
          <c:idx val="0"/>
          <c:order val="0"/>
          <c:tx>
            <c:strRef>
              <c:f>Sheet2!$J$36</c:f>
              <c:strCache>
                <c:ptCount val="1"/>
                <c:pt idx="0">
                  <c:v> Articles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  <a:sp3d/>
          </c:spPr>
          <c:invertIfNegative val="0"/>
          <c:cat>
            <c:strRef>
              <c:f>Sheet2!$I$37:$I$46</c:f>
              <c:strCache>
                <c:ptCount val="10"/>
                <c:pt idx="0">
                  <c:v>Sustainability</c:v>
                </c:pt>
                <c:pt idx="1">
                  <c:v>Int Journal of Sustainable Transp</c:v>
                </c:pt>
                <c:pt idx="2">
                  <c:v>Transportation Research Part D</c:v>
                </c:pt>
                <c:pt idx="3">
                  <c:v>Journal of Cleaner Production</c:v>
                </c:pt>
                <c:pt idx="4">
                  <c:v>Transport Policy</c:v>
                </c:pt>
                <c:pt idx="5">
                  <c:v>Sustainable Cities and Society</c:v>
                </c:pt>
                <c:pt idx="6">
                  <c:v>Transportation Research Part A</c:v>
                </c:pt>
                <c:pt idx="7">
                  <c:v>Energies</c:v>
                </c:pt>
                <c:pt idx="8">
                  <c:v>Transportation Research Record</c:v>
                </c:pt>
                <c:pt idx="9">
                  <c:v>Energy Policy</c:v>
                </c:pt>
              </c:strCache>
            </c:strRef>
          </c:cat>
          <c:val>
            <c:numRef>
              <c:f>Sheet2!$J$37:$J$46</c:f>
              <c:numCache>
                <c:formatCode>General</c:formatCode>
                <c:ptCount val="10"/>
                <c:pt idx="0">
                  <c:v>1</c:v>
                </c:pt>
                <c:pt idx="1">
                  <c:v>0.92982456140350878</c:v>
                </c:pt>
                <c:pt idx="2">
                  <c:v>0.44736842105263158</c:v>
                </c:pt>
                <c:pt idx="3">
                  <c:v>0.34210526315789475</c:v>
                </c:pt>
                <c:pt idx="4">
                  <c:v>0.2807017543859649</c:v>
                </c:pt>
                <c:pt idx="5">
                  <c:v>0.22807017543859648</c:v>
                </c:pt>
                <c:pt idx="6">
                  <c:v>0.21052631578947367</c:v>
                </c:pt>
                <c:pt idx="7">
                  <c:v>0.18421052631578946</c:v>
                </c:pt>
                <c:pt idx="8">
                  <c:v>0.16666666666666666</c:v>
                </c:pt>
                <c:pt idx="9">
                  <c:v>0.15789473684210525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743-4AB1-9724-D4072039F601}"/>
            </c:ext>
          </c:extLst>
        </c:ser>
        <c:ser>
          <c:idx val="1"/>
          <c:order val="1"/>
          <c:tx>
            <c:strRef>
              <c:f>Sheet2!$K$36</c:f>
              <c:strCache>
                <c:ptCount val="1"/>
                <c:pt idx="0">
                  <c:v>Citations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  <a:sp3d/>
          </c:spPr>
          <c:invertIfNegative val="0"/>
          <c:cat>
            <c:strRef>
              <c:f>Sheet2!$I$37:$I$46</c:f>
              <c:strCache>
                <c:ptCount val="10"/>
                <c:pt idx="0">
                  <c:v>Sustainability</c:v>
                </c:pt>
                <c:pt idx="1">
                  <c:v>Int Journal of Sustainable Transp</c:v>
                </c:pt>
                <c:pt idx="2">
                  <c:v>Transportation Research Part D</c:v>
                </c:pt>
                <c:pt idx="3">
                  <c:v>Journal of Cleaner Production</c:v>
                </c:pt>
                <c:pt idx="4">
                  <c:v>Transport Policy</c:v>
                </c:pt>
                <c:pt idx="5">
                  <c:v>Sustainable Cities and Society</c:v>
                </c:pt>
                <c:pt idx="6">
                  <c:v>Transportation Research Part A</c:v>
                </c:pt>
                <c:pt idx="7">
                  <c:v>Energies</c:v>
                </c:pt>
                <c:pt idx="8">
                  <c:v>Transportation Research Record</c:v>
                </c:pt>
                <c:pt idx="9">
                  <c:v>Energy Policy</c:v>
                </c:pt>
              </c:strCache>
            </c:strRef>
          </c:cat>
          <c:val>
            <c:numRef>
              <c:f>Sheet2!$K$37:$K$46</c:f>
              <c:numCache>
                <c:formatCode>General</c:formatCode>
                <c:ptCount val="10"/>
                <c:pt idx="0">
                  <c:v>0.62544014084507038</c:v>
                </c:pt>
                <c:pt idx="1">
                  <c:v>1</c:v>
                </c:pt>
                <c:pt idx="2">
                  <c:v>0.83582746478873238</c:v>
                </c:pt>
                <c:pt idx="3">
                  <c:v>0.82130281690140849</c:v>
                </c:pt>
                <c:pt idx="4">
                  <c:v>0.41945422535211269</c:v>
                </c:pt>
                <c:pt idx="5">
                  <c:v>0.25792253521126762</c:v>
                </c:pt>
                <c:pt idx="6">
                  <c:v>0.51760563380281688</c:v>
                </c:pt>
                <c:pt idx="7">
                  <c:v>8.7588028169014079E-2</c:v>
                </c:pt>
                <c:pt idx="8">
                  <c:v>0.15008802816901409</c:v>
                </c:pt>
                <c:pt idx="9">
                  <c:v>0.4005281690140845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743-4AB1-9724-D4072039F601}"/>
            </c:ext>
          </c:extLst>
        </c:ser>
        <c:ser>
          <c:idx val="2"/>
          <c:order val="2"/>
          <c:tx>
            <c:strRef>
              <c:f>Sheet2!$L$36</c:f>
              <c:strCache>
                <c:ptCount val="1"/>
                <c:pt idx="0">
                  <c:v>Hot Articles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  <a:sp3d/>
          </c:spPr>
          <c:invertIfNegative val="0"/>
          <c:cat>
            <c:strRef>
              <c:f>Sheet2!$I$37:$I$46</c:f>
              <c:strCache>
                <c:ptCount val="10"/>
                <c:pt idx="0">
                  <c:v>Sustainability</c:v>
                </c:pt>
                <c:pt idx="1">
                  <c:v>Int Journal of Sustainable Transp</c:v>
                </c:pt>
                <c:pt idx="2">
                  <c:v>Transportation Research Part D</c:v>
                </c:pt>
                <c:pt idx="3">
                  <c:v>Journal of Cleaner Production</c:v>
                </c:pt>
                <c:pt idx="4">
                  <c:v>Transport Policy</c:v>
                </c:pt>
                <c:pt idx="5">
                  <c:v>Sustainable Cities and Society</c:v>
                </c:pt>
                <c:pt idx="6">
                  <c:v>Transportation Research Part A</c:v>
                </c:pt>
                <c:pt idx="7">
                  <c:v>Energies</c:v>
                </c:pt>
                <c:pt idx="8">
                  <c:v>Transportation Research Record</c:v>
                </c:pt>
                <c:pt idx="9">
                  <c:v>Energy Policy</c:v>
                </c:pt>
              </c:strCache>
            </c:strRef>
          </c:cat>
          <c:val>
            <c:numRef>
              <c:f>Sheet2!$L$37:$L$46</c:f>
              <c:numCache>
                <c:formatCode>General</c:formatCode>
                <c:ptCount val="10"/>
                <c:pt idx="0">
                  <c:v>0.26666666666666666</c:v>
                </c:pt>
                <c:pt idx="1">
                  <c:v>0.6</c:v>
                </c:pt>
                <c:pt idx="2">
                  <c:v>1</c:v>
                </c:pt>
                <c:pt idx="3">
                  <c:v>0.8</c:v>
                </c:pt>
                <c:pt idx="4">
                  <c:v>0.6</c:v>
                </c:pt>
                <c:pt idx="5">
                  <c:v>0.2</c:v>
                </c:pt>
                <c:pt idx="6">
                  <c:v>0.73333333333333328</c:v>
                </c:pt>
                <c:pt idx="7">
                  <c:v>0</c:v>
                </c:pt>
                <c:pt idx="8">
                  <c:v>0.13333333333333333</c:v>
                </c:pt>
                <c:pt idx="9">
                  <c:v>0.53333333333333333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B743-4AB1-9724-D4072039F601}"/>
            </c:ext>
          </c:extLst>
        </c:ser>
        <c:ser>
          <c:idx val="3"/>
          <c:order val="3"/>
          <c:tx>
            <c:strRef>
              <c:f>Sheet2!$M$36</c:f>
              <c:strCache>
                <c:ptCount val="1"/>
                <c:pt idx="0">
                  <c:v>H-Index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  <a:sp3d/>
          </c:spPr>
          <c:invertIfNegative val="0"/>
          <c:cat>
            <c:strRef>
              <c:f>Sheet2!$I$37:$I$46</c:f>
              <c:strCache>
                <c:ptCount val="10"/>
                <c:pt idx="0">
                  <c:v>Sustainability</c:v>
                </c:pt>
                <c:pt idx="1">
                  <c:v>Int Journal of Sustainable Transp</c:v>
                </c:pt>
                <c:pt idx="2">
                  <c:v>Transportation Research Part D</c:v>
                </c:pt>
                <c:pt idx="3">
                  <c:v>Journal of Cleaner Production</c:v>
                </c:pt>
                <c:pt idx="4">
                  <c:v>Transport Policy</c:v>
                </c:pt>
                <c:pt idx="5">
                  <c:v>Sustainable Cities and Society</c:v>
                </c:pt>
                <c:pt idx="6">
                  <c:v>Transportation Research Part A</c:v>
                </c:pt>
                <c:pt idx="7">
                  <c:v>Energies</c:v>
                </c:pt>
                <c:pt idx="8">
                  <c:v>Transportation Research Record</c:v>
                </c:pt>
                <c:pt idx="9">
                  <c:v>Energy Policy</c:v>
                </c:pt>
              </c:strCache>
            </c:strRef>
          </c:cat>
          <c:val>
            <c:numRef>
              <c:f>Sheet2!$M$37:$M$46</c:f>
              <c:numCache>
                <c:formatCode>General</c:formatCode>
                <c:ptCount val="10"/>
                <c:pt idx="0">
                  <c:v>0.8</c:v>
                </c:pt>
                <c:pt idx="1">
                  <c:v>1</c:v>
                </c:pt>
                <c:pt idx="2">
                  <c:v>0.92</c:v>
                </c:pt>
                <c:pt idx="3">
                  <c:v>0.88</c:v>
                </c:pt>
                <c:pt idx="4">
                  <c:v>0.72</c:v>
                </c:pt>
                <c:pt idx="5">
                  <c:v>0.6</c:v>
                </c:pt>
                <c:pt idx="6">
                  <c:v>0.68</c:v>
                </c:pt>
                <c:pt idx="7">
                  <c:v>0.32</c:v>
                </c:pt>
                <c:pt idx="8">
                  <c:v>0.4</c:v>
                </c:pt>
                <c:pt idx="9">
                  <c:v>0.6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B743-4AB1-9724-D4072039F601}"/>
            </c:ext>
          </c:extLst>
        </c:ser>
        <c:ser>
          <c:idx val="4"/>
          <c:order val="4"/>
          <c:tx>
            <c:strRef>
              <c:f>Sheet2!$N$36</c:f>
              <c:strCache>
                <c:ptCount val="1"/>
                <c:pt idx="0">
                  <c:v>IF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  <a:sp3d/>
          </c:spPr>
          <c:invertIfNegative val="0"/>
          <c:cat>
            <c:strRef>
              <c:f>Sheet2!$I$37:$I$46</c:f>
              <c:strCache>
                <c:ptCount val="10"/>
                <c:pt idx="0">
                  <c:v>Sustainability</c:v>
                </c:pt>
                <c:pt idx="1">
                  <c:v>Int Journal of Sustainable Transp</c:v>
                </c:pt>
                <c:pt idx="2">
                  <c:v>Transportation Research Part D</c:v>
                </c:pt>
                <c:pt idx="3">
                  <c:v>Journal of Cleaner Production</c:v>
                </c:pt>
                <c:pt idx="4">
                  <c:v>Transport Policy</c:v>
                </c:pt>
                <c:pt idx="5">
                  <c:v>Sustainable Cities and Society</c:v>
                </c:pt>
                <c:pt idx="6">
                  <c:v>Transportation Research Part A</c:v>
                </c:pt>
                <c:pt idx="7">
                  <c:v>Energies</c:v>
                </c:pt>
                <c:pt idx="8">
                  <c:v>Transportation Research Record</c:v>
                </c:pt>
                <c:pt idx="9">
                  <c:v>Energy Policy</c:v>
                </c:pt>
              </c:strCache>
            </c:strRef>
          </c:cat>
          <c:val>
            <c:numRef>
              <c:f>Sheet2!$N$37:$N$46</c:f>
              <c:numCache>
                <c:formatCode>General</c:formatCode>
                <c:ptCount val="10"/>
                <c:pt idx="0">
                  <c:v>0.27499999999999997</c:v>
                </c:pt>
                <c:pt idx="1">
                  <c:v>0.32500000000000001</c:v>
                </c:pt>
                <c:pt idx="2">
                  <c:v>0.64166666666666672</c:v>
                </c:pt>
                <c:pt idx="3">
                  <c:v>0.83333333333333337</c:v>
                </c:pt>
                <c:pt idx="4">
                  <c:v>0.44166666666666665</c:v>
                </c:pt>
                <c:pt idx="5">
                  <c:v>1</c:v>
                </c:pt>
                <c:pt idx="6">
                  <c:v>0.56666666666666665</c:v>
                </c:pt>
                <c:pt idx="7">
                  <c:v>0.26666666666666666</c:v>
                </c:pt>
                <c:pt idx="8">
                  <c:v>0.15</c:v>
                </c:pt>
                <c:pt idx="9">
                  <c:v>0.76666666666666661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B743-4AB1-9724-D4072039F60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1604167967"/>
        <c:axId val="1604169887"/>
        <c:axId val="0"/>
      </c:bar3DChart>
      <c:catAx>
        <c:axId val="160416796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04169887"/>
        <c:crosses val="autoZero"/>
        <c:auto val="1"/>
        <c:lblAlgn val="ctr"/>
        <c:lblOffset val="100"/>
        <c:noMultiLvlLbl val="0"/>
      </c:catAx>
      <c:valAx>
        <c:axId val="160416988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0416796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SROS Score 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stacked"/>
        <c:varyColors val="0"/>
        <c:ser>
          <c:idx val="0"/>
          <c:order val="0"/>
          <c:tx>
            <c:strRef>
              <c:f>Sheet2!$K$51</c:f>
              <c:strCache>
                <c:ptCount val="1"/>
                <c:pt idx="0">
                  <c:v>Article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  <a:sp3d/>
          </c:spPr>
          <c:invertIfNegative val="0"/>
          <c:cat>
            <c:strRef>
              <c:f>Sheet2!$J$52:$J$61</c:f>
              <c:strCache>
                <c:ptCount val="10"/>
                <c:pt idx="0">
                  <c:v>Axsen, J</c:v>
                </c:pt>
                <c:pt idx="1">
                  <c:v>Shi, XM</c:v>
                </c:pt>
                <c:pt idx="2">
                  <c:v>Ramachandra, TV</c:v>
                </c:pt>
                <c:pt idx="3">
                  <c:v>Long, Z</c:v>
                </c:pt>
                <c:pt idx="4">
                  <c:v>Zhao, S</c:v>
                </c:pt>
                <c:pt idx="5">
                  <c:v>Du, S</c:v>
                </c:pt>
                <c:pt idx="6">
                  <c:v>Haselbach, L</c:v>
                </c:pt>
                <c:pt idx="7">
                  <c:v>Suarez-Bertoa, R</c:v>
                </c:pt>
                <c:pt idx="8">
                  <c:v>Banister, D</c:v>
                </c:pt>
                <c:pt idx="9">
                  <c:v>Setturu, B</c:v>
                </c:pt>
              </c:strCache>
            </c:strRef>
          </c:cat>
          <c:val>
            <c:numRef>
              <c:f>Sheet2!$K$52:$K$61</c:f>
              <c:numCache>
                <c:formatCode>General</c:formatCode>
                <c:ptCount val="10"/>
                <c:pt idx="0">
                  <c:v>1</c:v>
                </c:pt>
                <c:pt idx="1">
                  <c:v>0.8214285714285714</c:v>
                </c:pt>
                <c:pt idx="2">
                  <c:v>0.6785714285714286</c:v>
                </c:pt>
                <c:pt idx="3">
                  <c:v>0.42857142857142855</c:v>
                </c:pt>
                <c:pt idx="4">
                  <c:v>0.35714285714285715</c:v>
                </c:pt>
                <c:pt idx="5">
                  <c:v>0.32142857142857145</c:v>
                </c:pt>
                <c:pt idx="6">
                  <c:v>0.32142857142857145</c:v>
                </c:pt>
                <c:pt idx="7">
                  <c:v>0.2857142857142857</c:v>
                </c:pt>
                <c:pt idx="8">
                  <c:v>0.2857142857142857</c:v>
                </c:pt>
                <c:pt idx="9">
                  <c:v>0.2857142857142857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C84-4DFC-A1E2-AF84E8C211CE}"/>
            </c:ext>
          </c:extLst>
        </c:ser>
        <c:ser>
          <c:idx val="1"/>
          <c:order val="1"/>
          <c:tx>
            <c:strRef>
              <c:f>Sheet2!$L$51</c:f>
              <c:strCache>
                <c:ptCount val="1"/>
                <c:pt idx="0">
                  <c:v>Citation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  <a:sp3d/>
          </c:spPr>
          <c:invertIfNegative val="0"/>
          <c:cat>
            <c:strRef>
              <c:f>Sheet2!$J$52:$J$61</c:f>
              <c:strCache>
                <c:ptCount val="10"/>
                <c:pt idx="0">
                  <c:v>Axsen, J</c:v>
                </c:pt>
                <c:pt idx="1">
                  <c:v>Shi, XM</c:v>
                </c:pt>
                <c:pt idx="2">
                  <c:v>Ramachandra, TV</c:v>
                </c:pt>
                <c:pt idx="3">
                  <c:v>Long, Z</c:v>
                </c:pt>
                <c:pt idx="4">
                  <c:v>Zhao, S</c:v>
                </c:pt>
                <c:pt idx="5">
                  <c:v>Du, S</c:v>
                </c:pt>
                <c:pt idx="6">
                  <c:v>Haselbach, L</c:v>
                </c:pt>
                <c:pt idx="7">
                  <c:v>Suarez-Bertoa, R</c:v>
                </c:pt>
                <c:pt idx="8">
                  <c:v>Banister, D</c:v>
                </c:pt>
                <c:pt idx="9">
                  <c:v>Setturu, B</c:v>
                </c:pt>
              </c:strCache>
            </c:strRef>
          </c:cat>
          <c:val>
            <c:numRef>
              <c:f>Sheet2!$L$52:$L$61</c:f>
              <c:numCache>
                <c:formatCode>General</c:formatCode>
                <c:ptCount val="10"/>
                <c:pt idx="0">
                  <c:v>1</c:v>
                </c:pt>
                <c:pt idx="1">
                  <c:v>0.81388621022179364</c:v>
                </c:pt>
                <c:pt idx="2">
                  <c:v>0.23915139826422371</c:v>
                </c:pt>
                <c:pt idx="3">
                  <c:v>0.44648023143683702</c:v>
                </c:pt>
                <c:pt idx="4">
                  <c:v>0.35969141755062684</c:v>
                </c:pt>
                <c:pt idx="5">
                  <c:v>0.31822565091610416</c:v>
                </c:pt>
                <c:pt idx="6">
                  <c:v>7.5216972034715529E-2</c:v>
                </c:pt>
                <c:pt idx="7">
                  <c:v>0.6518804243008679</c:v>
                </c:pt>
                <c:pt idx="8">
                  <c:v>0.61523625843780139</c:v>
                </c:pt>
                <c:pt idx="9">
                  <c:v>0.13500482160077146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C84-4DFC-A1E2-AF84E8C211CE}"/>
            </c:ext>
          </c:extLst>
        </c:ser>
        <c:ser>
          <c:idx val="2"/>
          <c:order val="2"/>
          <c:tx>
            <c:strRef>
              <c:f>Sheet2!$M$51</c:f>
              <c:strCache>
                <c:ptCount val="1"/>
                <c:pt idx="0">
                  <c:v>H-index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  <a:sp3d/>
          </c:spPr>
          <c:invertIfNegative val="0"/>
          <c:cat>
            <c:strRef>
              <c:f>Sheet2!$J$52:$J$61</c:f>
              <c:strCache>
                <c:ptCount val="10"/>
                <c:pt idx="0">
                  <c:v>Axsen, J</c:v>
                </c:pt>
                <c:pt idx="1">
                  <c:v>Shi, XM</c:v>
                </c:pt>
                <c:pt idx="2">
                  <c:v>Ramachandra, TV</c:v>
                </c:pt>
                <c:pt idx="3">
                  <c:v>Long, Z</c:v>
                </c:pt>
                <c:pt idx="4">
                  <c:v>Zhao, S</c:v>
                </c:pt>
                <c:pt idx="5">
                  <c:v>Du, S</c:v>
                </c:pt>
                <c:pt idx="6">
                  <c:v>Haselbach, L</c:v>
                </c:pt>
                <c:pt idx="7">
                  <c:v>Suarez-Bertoa, R</c:v>
                </c:pt>
                <c:pt idx="8">
                  <c:v>Banister, D</c:v>
                </c:pt>
                <c:pt idx="9">
                  <c:v>Setturu, B</c:v>
                </c:pt>
              </c:strCache>
            </c:strRef>
          </c:cat>
          <c:val>
            <c:numRef>
              <c:f>Sheet2!$M$52:$M$61</c:f>
              <c:numCache>
                <c:formatCode>General</c:formatCode>
                <c:ptCount val="10"/>
                <c:pt idx="0">
                  <c:v>1</c:v>
                </c:pt>
                <c:pt idx="1">
                  <c:v>0.8</c:v>
                </c:pt>
                <c:pt idx="2">
                  <c:v>0.45</c:v>
                </c:pt>
                <c:pt idx="3">
                  <c:v>0.55000000000000004</c:v>
                </c:pt>
                <c:pt idx="4">
                  <c:v>0.4</c:v>
                </c:pt>
                <c:pt idx="5">
                  <c:v>0.45</c:v>
                </c:pt>
                <c:pt idx="6">
                  <c:v>0.2</c:v>
                </c:pt>
                <c:pt idx="7">
                  <c:v>0.4</c:v>
                </c:pt>
                <c:pt idx="8">
                  <c:v>0.35</c:v>
                </c:pt>
                <c:pt idx="9">
                  <c:v>0.3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9C84-4DFC-A1E2-AF84E8C211CE}"/>
            </c:ext>
          </c:extLst>
        </c:ser>
        <c:ser>
          <c:idx val="3"/>
          <c:order val="3"/>
          <c:tx>
            <c:strRef>
              <c:f>Sheet2!$N$51</c:f>
              <c:strCache>
                <c:ptCount val="1"/>
                <c:pt idx="0">
                  <c:v>Hot Articles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  <a:sp3d/>
          </c:spPr>
          <c:invertIfNegative val="0"/>
          <c:cat>
            <c:strRef>
              <c:f>Sheet2!$J$52:$J$61</c:f>
              <c:strCache>
                <c:ptCount val="10"/>
                <c:pt idx="0">
                  <c:v>Axsen, J</c:v>
                </c:pt>
                <c:pt idx="1">
                  <c:v>Shi, XM</c:v>
                </c:pt>
                <c:pt idx="2">
                  <c:v>Ramachandra, TV</c:v>
                </c:pt>
                <c:pt idx="3">
                  <c:v>Long, Z</c:v>
                </c:pt>
                <c:pt idx="4">
                  <c:v>Zhao, S</c:v>
                </c:pt>
                <c:pt idx="5">
                  <c:v>Du, S</c:v>
                </c:pt>
                <c:pt idx="6">
                  <c:v>Haselbach, L</c:v>
                </c:pt>
                <c:pt idx="7">
                  <c:v>Suarez-Bertoa, R</c:v>
                </c:pt>
                <c:pt idx="8">
                  <c:v>Banister, D</c:v>
                </c:pt>
                <c:pt idx="9">
                  <c:v>Setturu, B</c:v>
                </c:pt>
              </c:strCache>
            </c:strRef>
          </c:cat>
          <c:val>
            <c:numRef>
              <c:f>Sheet2!$N$52:$N$61</c:f>
              <c:numCache>
                <c:formatCode>General</c:formatCode>
                <c:ptCount val="10"/>
                <c:pt idx="0">
                  <c:v>1</c:v>
                </c:pt>
                <c:pt idx="1">
                  <c:v>0.625</c:v>
                </c:pt>
                <c:pt idx="2">
                  <c:v>0</c:v>
                </c:pt>
                <c:pt idx="3">
                  <c:v>0.5</c:v>
                </c:pt>
                <c:pt idx="4">
                  <c:v>0.375</c:v>
                </c:pt>
                <c:pt idx="5">
                  <c:v>0.25</c:v>
                </c:pt>
                <c:pt idx="6">
                  <c:v>0</c:v>
                </c:pt>
                <c:pt idx="7">
                  <c:v>0.625</c:v>
                </c:pt>
                <c:pt idx="8">
                  <c:v>0.375</c:v>
                </c:pt>
                <c:pt idx="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9C84-4DFC-A1E2-AF84E8C211CE}"/>
            </c:ext>
          </c:extLst>
        </c:ser>
        <c:ser>
          <c:idx val="4"/>
          <c:order val="4"/>
          <c:tx>
            <c:strRef>
              <c:f>Sheet2!$O$51</c:f>
              <c:strCache>
                <c:ptCount val="1"/>
                <c:pt idx="0">
                  <c:v>First Author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  <a:sp3d/>
          </c:spPr>
          <c:invertIfNegative val="0"/>
          <c:cat>
            <c:strRef>
              <c:f>Sheet2!$J$52:$J$61</c:f>
              <c:strCache>
                <c:ptCount val="10"/>
                <c:pt idx="0">
                  <c:v>Axsen, J</c:v>
                </c:pt>
                <c:pt idx="1">
                  <c:v>Shi, XM</c:v>
                </c:pt>
                <c:pt idx="2">
                  <c:v>Ramachandra, TV</c:v>
                </c:pt>
                <c:pt idx="3">
                  <c:v>Long, Z</c:v>
                </c:pt>
                <c:pt idx="4">
                  <c:v>Zhao, S</c:v>
                </c:pt>
                <c:pt idx="5">
                  <c:v>Du, S</c:v>
                </c:pt>
                <c:pt idx="6">
                  <c:v>Haselbach, L</c:v>
                </c:pt>
                <c:pt idx="7">
                  <c:v>Suarez-Bertoa, R</c:v>
                </c:pt>
                <c:pt idx="8">
                  <c:v>Banister, D</c:v>
                </c:pt>
                <c:pt idx="9">
                  <c:v>Setturu, B</c:v>
                </c:pt>
              </c:strCache>
            </c:strRef>
          </c:cat>
          <c:val>
            <c:numRef>
              <c:f>Sheet2!$O$52:$O$61</c:f>
              <c:numCache>
                <c:formatCode>General</c:formatCode>
                <c:ptCount val="10"/>
                <c:pt idx="0">
                  <c:v>0.25</c:v>
                </c:pt>
                <c:pt idx="1">
                  <c:v>0</c:v>
                </c:pt>
                <c:pt idx="2">
                  <c:v>1</c:v>
                </c:pt>
                <c:pt idx="3">
                  <c:v>0.4375</c:v>
                </c:pt>
                <c:pt idx="4">
                  <c:v>0.3125</c:v>
                </c:pt>
                <c:pt idx="5">
                  <c:v>0.4375</c:v>
                </c:pt>
                <c:pt idx="6">
                  <c:v>0.1875</c:v>
                </c:pt>
                <c:pt idx="7">
                  <c:v>0.3125</c:v>
                </c:pt>
                <c:pt idx="8">
                  <c:v>6.25E-2</c:v>
                </c:pt>
                <c:pt idx="9">
                  <c:v>6.25E-2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9C84-4DFC-A1E2-AF84E8C211CE}"/>
            </c:ext>
          </c:extLst>
        </c:ser>
        <c:ser>
          <c:idx val="5"/>
          <c:order val="5"/>
          <c:tx>
            <c:strRef>
              <c:f>Sheet2!$P$51</c:f>
              <c:strCache>
                <c:ptCount val="1"/>
                <c:pt idx="0">
                  <c:v>Citation*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  <a:sp3d/>
          </c:spPr>
          <c:invertIfNegative val="0"/>
          <c:cat>
            <c:strRef>
              <c:f>Sheet2!$J$52:$J$61</c:f>
              <c:strCache>
                <c:ptCount val="10"/>
                <c:pt idx="0">
                  <c:v>Axsen, J</c:v>
                </c:pt>
                <c:pt idx="1">
                  <c:v>Shi, XM</c:v>
                </c:pt>
                <c:pt idx="2">
                  <c:v>Ramachandra, TV</c:v>
                </c:pt>
                <c:pt idx="3">
                  <c:v>Long, Z</c:v>
                </c:pt>
                <c:pt idx="4">
                  <c:v>Zhao, S</c:v>
                </c:pt>
                <c:pt idx="5">
                  <c:v>Du, S</c:v>
                </c:pt>
                <c:pt idx="6">
                  <c:v>Haselbach, L</c:v>
                </c:pt>
                <c:pt idx="7">
                  <c:v>Suarez-Bertoa, R</c:v>
                </c:pt>
                <c:pt idx="8">
                  <c:v>Banister, D</c:v>
                </c:pt>
                <c:pt idx="9">
                  <c:v>Setturu, B</c:v>
                </c:pt>
              </c:strCache>
            </c:strRef>
          </c:cat>
          <c:val>
            <c:numRef>
              <c:f>Sheet2!$P$52:$P$61</c:f>
              <c:numCache>
                <c:formatCode>General</c:formatCode>
                <c:ptCount val="10"/>
                <c:pt idx="0">
                  <c:v>1</c:v>
                </c:pt>
                <c:pt idx="1">
                  <c:v>0.8586387434554974</c:v>
                </c:pt>
                <c:pt idx="2">
                  <c:v>0.23664921465968586</c:v>
                </c:pt>
                <c:pt idx="3">
                  <c:v>0.4607329842931937</c:v>
                </c:pt>
                <c:pt idx="4">
                  <c:v>0.38952879581151834</c:v>
                </c:pt>
                <c:pt idx="5">
                  <c:v>0.33612565445026177</c:v>
                </c:pt>
                <c:pt idx="6">
                  <c:v>8.0628272251308905E-2</c:v>
                </c:pt>
                <c:pt idx="7">
                  <c:v>0.70052356020942408</c:v>
                </c:pt>
                <c:pt idx="8">
                  <c:v>0.6628272251308901</c:v>
                </c:pt>
                <c:pt idx="9">
                  <c:v>0.13821989528795811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9C84-4DFC-A1E2-AF84E8C211C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1539591967"/>
        <c:axId val="1539593407"/>
        <c:axId val="0"/>
      </c:bar3DChart>
      <c:catAx>
        <c:axId val="153959196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39593407"/>
        <c:crosses val="autoZero"/>
        <c:auto val="1"/>
        <c:lblAlgn val="ctr"/>
        <c:lblOffset val="100"/>
        <c:noMultiLvlLbl val="0"/>
      </c:catAx>
      <c:valAx>
        <c:axId val="153959340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3959196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9.7555689382288327E-2"/>
          <c:y val="7.4228998601219814E-2"/>
          <c:w val="0.64057008875564114"/>
          <c:h val="0.89752238939710705"/>
        </c:manualLayout>
      </c:layout>
      <c:radarChart>
        <c:radarStyle val="marker"/>
        <c:varyColors val="0"/>
        <c:ser>
          <c:idx val="0"/>
          <c:order val="0"/>
          <c:tx>
            <c:strRef>
              <c:f>Sheet2!$I$22</c:f>
              <c:strCache>
                <c:ptCount val="1"/>
                <c:pt idx="0">
                  <c:v>Eur comm joint research centre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Sheet2!$J$21:$M$21</c:f>
              <c:strCache>
                <c:ptCount val="4"/>
                <c:pt idx="0">
                  <c:v>articles</c:v>
                </c:pt>
                <c:pt idx="1">
                  <c:v>citations</c:v>
                </c:pt>
                <c:pt idx="2">
                  <c:v>h-index</c:v>
                </c:pt>
                <c:pt idx="3">
                  <c:v>hot articles</c:v>
                </c:pt>
              </c:strCache>
            </c:strRef>
          </c:cat>
          <c:val>
            <c:numRef>
              <c:f>Sheet2!$J$22:$M$22</c:f>
              <c:numCache>
                <c:formatCode>General</c:formatCode>
                <c:ptCount val="4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568-4204-80BA-AA3FEF2F0BA1}"/>
            </c:ext>
          </c:extLst>
        </c:ser>
        <c:ser>
          <c:idx val="1"/>
          <c:order val="1"/>
          <c:tx>
            <c:strRef>
              <c:f>Sheet2!$I$23</c:f>
              <c:strCache>
                <c:ptCount val="1"/>
                <c:pt idx="0">
                  <c:v>University of california davis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Sheet2!$J$21:$M$21</c:f>
              <c:strCache>
                <c:ptCount val="4"/>
                <c:pt idx="0">
                  <c:v>articles</c:v>
                </c:pt>
                <c:pt idx="1">
                  <c:v>citations</c:v>
                </c:pt>
                <c:pt idx="2">
                  <c:v>h-index</c:v>
                </c:pt>
                <c:pt idx="3">
                  <c:v>hot articles</c:v>
                </c:pt>
              </c:strCache>
            </c:strRef>
          </c:cat>
          <c:val>
            <c:numRef>
              <c:f>Sheet2!$J$23:$M$23</c:f>
              <c:numCache>
                <c:formatCode>General</c:formatCode>
                <c:ptCount val="4"/>
                <c:pt idx="0">
                  <c:v>0.71111111111111114</c:v>
                </c:pt>
                <c:pt idx="1">
                  <c:v>0.62832643406268485</c:v>
                </c:pt>
                <c:pt idx="2">
                  <c:v>0.73333333333333328</c:v>
                </c:pt>
                <c:pt idx="3">
                  <c:v>0.47826086956521741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568-4204-80BA-AA3FEF2F0BA1}"/>
            </c:ext>
          </c:extLst>
        </c:ser>
        <c:ser>
          <c:idx val="2"/>
          <c:order val="2"/>
          <c:tx>
            <c:strRef>
              <c:f>Sheet2!$I$24</c:f>
              <c:strCache>
                <c:ptCount val="1"/>
                <c:pt idx="0">
                  <c:v>Simon fraser university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Sheet2!$J$21:$M$21</c:f>
              <c:strCache>
                <c:ptCount val="4"/>
                <c:pt idx="0">
                  <c:v>articles</c:v>
                </c:pt>
                <c:pt idx="1">
                  <c:v>citations</c:v>
                </c:pt>
                <c:pt idx="2">
                  <c:v>h-index</c:v>
                </c:pt>
                <c:pt idx="3">
                  <c:v>hot articles</c:v>
                </c:pt>
              </c:strCache>
            </c:strRef>
          </c:cat>
          <c:val>
            <c:numRef>
              <c:f>Sheet2!$J$24:$M$24</c:f>
              <c:numCache>
                <c:formatCode>General</c:formatCode>
                <c:ptCount val="4"/>
                <c:pt idx="0">
                  <c:v>0.64444444444444449</c:v>
                </c:pt>
                <c:pt idx="1">
                  <c:v>0.31017149615612066</c:v>
                </c:pt>
                <c:pt idx="2">
                  <c:v>0.66666666666666663</c:v>
                </c:pt>
                <c:pt idx="3">
                  <c:v>0.34782608695652173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3568-4204-80BA-AA3FEF2F0BA1}"/>
            </c:ext>
          </c:extLst>
        </c:ser>
        <c:ser>
          <c:idx val="3"/>
          <c:order val="3"/>
          <c:tx>
            <c:strRef>
              <c:f>Sheet2!$I$25</c:f>
              <c:strCache>
                <c:ptCount val="1"/>
                <c:pt idx="0">
                  <c:v>Washington state university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Sheet2!$J$21:$M$21</c:f>
              <c:strCache>
                <c:ptCount val="4"/>
                <c:pt idx="0">
                  <c:v>articles</c:v>
                </c:pt>
                <c:pt idx="1">
                  <c:v>citations</c:v>
                </c:pt>
                <c:pt idx="2">
                  <c:v>h-index</c:v>
                </c:pt>
                <c:pt idx="3">
                  <c:v>hot articles</c:v>
                </c:pt>
              </c:strCache>
            </c:strRef>
          </c:cat>
          <c:val>
            <c:numRef>
              <c:f>Sheet2!$J$25:$M$25</c:f>
              <c:numCache>
                <c:formatCode>General</c:formatCode>
                <c:ptCount val="4"/>
                <c:pt idx="0">
                  <c:v>0.64444444444444449</c:v>
                </c:pt>
                <c:pt idx="1">
                  <c:v>0.34062684801892373</c:v>
                </c:pt>
                <c:pt idx="2">
                  <c:v>0.6</c:v>
                </c:pt>
                <c:pt idx="3">
                  <c:v>0.39130434782608697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3568-4204-80BA-AA3FEF2F0BA1}"/>
            </c:ext>
          </c:extLst>
        </c:ser>
        <c:ser>
          <c:idx val="4"/>
          <c:order val="4"/>
          <c:tx>
            <c:strRef>
              <c:f>Sheet2!$I$26</c:f>
              <c:strCache>
                <c:ptCount val="1"/>
                <c:pt idx="0">
                  <c:v>University of oxford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strRef>
              <c:f>Sheet2!$J$21:$M$21</c:f>
              <c:strCache>
                <c:ptCount val="4"/>
                <c:pt idx="0">
                  <c:v>articles</c:v>
                </c:pt>
                <c:pt idx="1">
                  <c:v>citations</c:v>
                </c:pt>
                <c:pt idx="2">
                  <c:v>h-index</c:v>
                </c:pt>
                <c:pt idx="3">
                  <c:v>hot articles</c:v>
                </c:pt>
              </c:strCache>
            </c:strRef>
          </c:cat>
          <c:val>
            <c:numRef>
              <c:f>Sheet2!$J$26:$M$26</c:f>
              <c:numCache>
                <c:formatCode>General</c:formatCode>
                <c:ptCount val="4"/>
                <c:pt idx="0">
                  <c:v>0.42222222222222222</c:v>
                </c:pt>
                <c:pt idx="1">
                  <c:v>0.36250739207569488</c:v>
                </c:pt>
                <c:pt idx="2">
                  <c:v>0.43333333333333335</c:v>
                </c:pt>
                <c:pt idx="3">
                  <c:v>0.30434782608695654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3568-4204-80BA-AA3FEF2F0BA1}"/>
            </c:ext>
          </c:extLst>
        </c:ser>
        <c:ser>
          <c:idx val="5"/>
          <c:order val="5"/>
          <c:tx>
            <c:strRef>
              <c:f>Sheet2!$I$27</c:f>
              <c:strCache>
                <c:ptCount val="1"/>
                <c:pt idx="0">
                  <c:v>Beijing jiaotong university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strRef>
              <c:f>Sheet2!$J$21:$M$21</c:f>
              <c:strCache>
                <c:ptCount val="4"/>
                <c:pt idx="0">
                  <c:v>articles</c:v>
                </c:pt>
                <c:pt idx="1">
                  <c:v>citations</c:v>
                </c:pt>
                <c:pt idx="2">
                  <c:v>h-index</c:v>
                </c:pt>
                <c:pt idx="3">
                  <c:v>hot articles</c:v>
                </c:pt>
              </c:strCache>
            </c:strRef>
          </c:cat>
          <c:val>
            <c:numRef>
              <c:f>Sheet2!$J$27:$M$27</c:f>
              <c:numCache>
                <c:formatCode>General</c:formatCode>
                <c:ptCount val="4"/>
                <c:pt idx="0">
                  <c:v>0.42222222222222222</c:v>
                </c:pt>
                <c:pt idx="1">
                  <c:v>5.5292726197516261E-2</c:v>
                </c:pt>
                <c:pt idx="2">
                  <c:v>0.26666666666666666</c:v>
                </c:pt>
                <c:pt idx="3">
                  <c:v>4.3478260869565216E-2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3568-4204-80BA-AA3FEF2F0BA1}"/>
            </c:ext>
          </c:extLst>
        </c:ser>
        <c:ser>
          <c:idx val="6"/>
          <c:order val="6"/>
          <c:tx>
            <c:strRef>
              <c:f>Sheet2!$I$28</c:f>
              <c:strCache>
                <c:ptCount val="1"/>
                <c:pt idx="0">
                  <c:v>Changan university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Sheet2!$J$21:$M$21</c:f>
              <c:strCache>
                <c:ptCount val="4"/>
                <c:pt idx="0">
                  <c:v>articles</c:v>
                </c:pt>
                <c:pt idx="1">
                  <c:v>citations</c:v>
                </c:pt>
                <c:pt idx="2">
                  <c:v>h-index</c:v>
                </c:pt>
                <c:pt idx="3">
                  <c:v>hot articles</c:v>
                </c:pt>
              </c:strCache>
            </c:strRef>
          </c:cat>
          <c:val>
            <c:numRef>
              <c:f>Sheet2!$J$28:$M$28</c:f>
              <c:numCache>
                <c:formatCode>General</c:formatCode>
                <c:ptCount val="4"/>
                <c:pt idx="0">
                  <c:v>0.4</c:v>
                </c:pt>
                <c:pt idx="1">
                  <c:v>5.6179775280898875E-2</c:v>
                </c:pt>
                <c:pt idx="2">
                  <c:v>0.3</c:v>
                </c:pt>
                <c:pt idx="3">
                  <c:v>4.3478260869565216E-2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3568-4204-80BA-AA3FEF2F0BA1}"/>
            </c:ext>
          </c:extLst>
        </c:ser>
        <c:ser>
          <c:idx val="7"/>
          <c:order val="7"/>
          <c:tx>
            <c:strRef>
              <c:f>Sheet2!$I$29</c:f>
              <c:strCache>
                <c:ptCount val="1"/>
                <c:pt idx="0">
                  <c:v>University of alaska fairbanks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Sheet2!$J$21:$M$21</c:f>
              <c:strCache>
                <c:ptCount val="4"/>
                <c:pt idx="0">
                  <c:v>articles</c:v>
                </c:pt>
                <c:pt idx="1">
                  <c:v>citations</c:v>
                </c:pt>
                <c:pt idx="2">
                  <c:v>h-index</c:v>
                </c:pt>
                <c:pt idx="3">
                  <c:v>hot articles</c:v>
                </c:pt>
              </c:strCache>
            </c:strRef>
          </c:cat>
          <c:val>
            <c:numRef>
              <c:f>Sheet2!$J$29:$M$29</c:f>
              <c:numCache>
                <c:formatCode>General</c:formatCode>
                <c:ptCount val="4"/>
                <c:pt idx="0">
                  <c:v>0.37777777777777777</c:v>
                </c:pt>
                <c:pt idx="1">
                  <c:v>0.1602602010644589</c:v>
                </c:pt>
                <c:pt idx="2">
                  <c:v>0.36666666666666664</c:v>
                </c:pt>
                <c:pt idx="3">
                  <c:v>0.17391304347826086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3568-4204-80BA-AA3FEF2F0BA1}"/>
            </c:ext>
          </c:extLst>
        </c:ser>
        <c:ser>
          <c:idx val="8"/>
          <c:order val="8"/>
          <c:tx>
            <c:strRef>
              <c:f>Sheet2!$I$30</c:f>
              <c:strCache>
                <c:ptCount val="1"/>
                <c:pt idx="0">
                  <c:v>Lund university</c:v>
                </c:pt>
              </c:strCache>
            </c:strRef>
          </c:tx>
          <c:spPr>
            <a:ln w="28575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Sheet2!$J$21:$M$21</c:f>
              <c:strCache>
                <c:ptCount val="4"/>
                <c:pt idx="0">
                  <c:v>articles</c:v>
                </c:pt>
                <c:pt idx="1">
                  <c:v>citations</c:v>
                </c:pt>
                <c:pt idx="2">
                  <c:v>h-index</c:v>
                </c:pt>
                <c:pt idx="3">
                  <c:v>hot articles</c:v>
                </c:pt>
              </c:strCache>
            </c:strRef>
          </c:cat>
          <c:val>
            <c:numRef>
              <c:f>Sheet2!$J$30:$M$30</c:f>
              <c:numCache>
                <c:formatCode>General</c:formatCode>
                <c:ptCount val="4"/>
                <c:pt idx="0">
                  <c:v>0.35555555555555557</c:v>
                </c:pt>
                <c:pt idx="1">
                  <c:v>0.18628030751034891</c:v>
                </c:pt>
                <c:pt idx="2">
                  <c:v>0.43333333333333335</c:v>
                </c:pt>
                <c:pt idx="3">
                  <c:v>0.21739130434782608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3568-4204-80BA-AA3FEF2F0BA1}"/>
            </c:ext>
          </c:extLst>
        </c:ser>
        <c:ser>
          <c:idx val="9"/>
          <c:order val="9"/>
          <c:tx>
            <c:strRef>
              <c:f>Sheet2!$I$31</c:f>
              <c:strCache>
                <c:ptCount val="1"/>
                <c:pt idx="0">
                  <c:v>Royal institute of technology</c:v>
                </c:pt>
              </c:strCache>
            </c:strRef>
          </c:tx>
          <c:spPr>
            <a:ln w="28575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Sheet2!$J$21:$M$21</c:f>
              <c:strCache>
                <c:ptCount val="4"/>
                <c:pt idx="0">
                  <c:v>articles</c:v>
                </c:pt>
                <c:pt idx="1">
                  <c:v>citations</c:v>
                </c:pt>
                <c:pt idx="2">
                  <c:v>h-index</c:v>
                </c:pt>
                <c:pt idx="3">
                  <c:v>hot articles</c:v>
                </c:pt>
              </c:strCache>
            </c:strRef>
          </c:cat>
          <c:val>
            <c:numRef>
              <c:f>Sheet2!$J$31:$M$31</c:f>
              <c:numCache>
                <c:formatCode>General</c:formatCode>
                <c:ptCount val="4"/>
                <c:pt idx="0">
                  <c:v>0.33333333333333331</c:v>
                </c:pt>
                <c:pt idx="1">
                  <c:v>0.11413364872856298</c:v>
                </c:pt>
                <c:pt idx="2">
                  <c:v>0.3</c:v>
                </c:pt>
                <c:pt idx="3">
                  <c:v>0.13043478260869565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3568-4204-80BA-AA3FEF2F0BA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50268976"/>
        <c:axId val="250273296"/>
      </c:radarChart>
      <c:catAx>
        <c:axId val="25026897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50273296"/>
        <c:crosses val="autoZero"/>
        <c:auto val="1"/>
        <c:lblAlgn val="ctr"/>
        <c:lblOffset val="100"/>
        <c:noMultiLvlLbl val="0"/>
      </c:catAx>
      <c:valAx>
        <c:axId val="250273296"/>
        <c:scaling>
          <c:orientation val="minMax"/>
        </c:scaling>
        <c:delete val="1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crossAx val="25026897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layout>
        <c:manualLayout>
          <c:xMode val="edge"/>
          <c:yMode val="edge"/>
          <c:x val="0.70682605471906845"/>
          <c:y val="6.9582102400730469E-2"/>
          <c:w val="0.28294922219818119"/>
          <c:h val="0.89368343430247354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SROS Score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stacked"/>
        <c:varyColors val="0"/>
        <c:ser>
          <c:idx val="0"/>
          <c:order val="0"/>
          <c:tx>
            <c:strRef>
              <c:f>Sheet2!$J$21</c:f>
              <c:strCache>
                <c:ptCount val="1"/>
                <c:pt idx="0">
                  <c:v>articles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  <a:sp3d/>
          </c:spPr>
          <c:invertIfNegative val="0"/>
          <c:cat>
            <c:strRef>
              <c:f>Sheet2!$I$22:$I$31</c:f>
              <c:strCache>
                <c:ptCount val="10"/>
                <c:pt idx="0">
                  <c:v>Eur comm joint research centre</c:v>
                </c:pt>
                <c:pt idx="1">
                  <c:v>University of california davis</c:v>
                </c:pt>
                <c:pt idx="2">
                  <c:v>Simon fraser university</c:v>
                </c:pt>
                <c:pt idx="3">
                  <c:v>Washington state university</c:v>
                </c:pt>
                <c:pt idx="4">
                  <c:v>University of oxford</c:v>
                </c:pt>
                <c:pt idx="5">
                  <c:v>Beijing jiaotong university</c:v>
                </c:pt>
                <c:pt idx="6">
                  <c:v>Changan university</c:v>
                </c:pt>
                <c:pt idx="7">
                  <c:v>University of alaska fairbanks</c:v>
                </c:pt>
                <c:pt idx="8">
                  <c:v>Lund university</c:v>
                </c:pt>
                <c:pt idx="9">
                  <c:v>Royal institute of technology</c:v>
                </c:pt>
              </c:strCache>
            </c:strRef>
          </c:cat>
          <c:val>
            <c:numRef>
              <c:f>Sheet2!$J$22:$J$31</c:f>
              <c:numCache>
                <c:formatCode>General</c:formatCode>
                <c:ptCount val="10"/>
                <c:pt idx="0">
                  <c:v>1</c:v>
                </c:pt>
                <c:pt idx="1">
                  <c:v>0.71111111111111114</c:v>
                </c:pt>
                <c:pt idx="2">
                  <c:v>0.64444444444444449</c:v>
                </c:pt>
                <c:pt idx="3">
                  <c:v>0.64444444444444449</c:v>
                </c:pt>
                <c:pt idx="4">
                  <c:v>0.42222222222222222</c:v>
                </c:pt>
                <c:pt idx="5">
                  <c:v>0.42222222222222222</c:v>
                </c:pt>
                <c:pt idx="6">
                  <c:v>0.4</c:v>
                </c:pt>
                <c:pt idx="7">
                  <c:v>0.37777777777777777</c:v>
                </c:pt>
                <c:pt idx="8">
                  <c:v>0.35555555555555557</c:v>
                </c:pt>
                <c:pt idx="9">
                  <c:v>0.33333333333333331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327-400E-ADF7-41495418D144}"/>
            </c:ext>
          </c:extLst>
        </c:ser>
        <c:ser>
          <c:idx val="1"/>
          <c:order val="1"/>
          <c:tx>
            <c:strRef>
              <c:f>Sheet2!$K$21</c:f>
              <c:strCache>
                <c:ptCount val="1"/>
                <c:pt idx="0">
                  <c:v>citations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  <a:sp3d/>
          </c:spPr>
          <c:invertIfNegative val="0"/>
          <c:cat>
            <c:strRef>
              <c:f>Sheet2!$I$22:$I$31</c:f>
              <c:strCache>
                <c:ptCount val="10"/>
                <c:pt idx="0">
                  <c:v>Eur comm joint research centre</c:v>
                </c:pt>
                <c:pt idx="1">
                  <c:v>University of california davis</c:v>
                </c:pt>
                <c:pt idx="2">
                  <c:v>Simon fraser university</c:v>
                </c:pt>
                <c:pt idx="3">
                  <c:v>Washington state university</c:v>
                </c:pt>
                <c:pt idx="4">
                  <c:v>University of oxford</c:v>
                </c:pt>
                <c:pt idx="5">
                  <c:v>Beijing jiaotong university</c:v>
                </c:pt>
                <c:pt idx="6">
                  <c:v>Changan university</c:v>
                </c:pt>
                <c:pt idx="7">
                  <c:v>University of alaska fairbanks</c:v>
                </c:pt>
                <c:pt idx="8">
                  <c:v>Lund university</c:v>
                </c:pt>
                <c:pt idx="9">
                  <c:v>Royal institute of technology</c:v>
                </c:pt>
              </c:strCache>
            </c:strRef>
          </c:cat>
          <c:val>
            <c:numRef>
              <c:f>Sheet2!$K$22:$K$31</c:f>
              <c:numCache>
                <c:formatCode>General</c:formatCode>
                <c:ptCount val="10"/>
                <c:pt idx="0">
                  <c:v>1</c:v>
                </c:pt>
                <c:pt idx="1">
                  <c:v>0.62832643406268485</c:v>
                </c:pt>
                <c:pt idx="2">
                  <c:v>0.31017149615612066</c:v>
                </c:pt>
                <c:pt idx="3">
                  <c:v>0.34062684801892373</c:v>
                </c:pt>
                <c:pt idx="4">
                  <c:v>0.36250739207569488</c:v>
                </c:pt>
                <c:pt idx="5">
                  <c:v>5.5292726197516261E-2</c:v>
                </c:pt>
                <c:pt idx="6">
                  <c:v>5.6179775280898875E-2</c:v>
                </c:pt>
                <c:pt idx="7">
                  <c:v>0.1602602010644589</c:v>
                </c:pt>
                <c:pt idx="8">
                  <c:v>0.18628030751034891</c:v>
                </c:pt>
                <c:pt idx="9">
                  <c:v>0.11413364872856298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327-400E-ADF7-41495418D144}"/>
            </c:ext>
          </c:extLst>
        </c:ser>
        <c:ser>
          <c:idx val="2"/>
          <c:order val="2"/>
          <c:tx>
            <c:strRef>
              <c:f>Sheet2!$L$21</c:f>
              <c:strCache>
                <c:ptCount val="1"/>
                <c:pt idx="0">
                  <c:v>h-index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  <a:sp3d/>
          </c:spPr>
          <c:invertIfNegative val="0"/>
          <c:cat>
            <c:strRef>
              <c:f>Sheet2!$I$22:$I$31</c:f>
              <c:strCache>
                <c:ptCount val="10"/>
                <c:pt idx="0">
                  <c:v>Eur comm joint research centre</c:v>
                </c:pt>
                <c:pt idx="1">
                  <c:v>University of california davis</c:v>
                </c:pt>
                <c:pt idx="2">
                  <c:v>Simon fraser university</c:v>
                </c:pt>
                <c:pt idx="3">
                  <c:v>Washington state university</c:v>
                </c:pt>
                <c:pt idx="4">
                  <c:v>University of oxford</c:v>
                </c:pt>
                <c:pt idx="5">
                  <c:v>Beijing jiaotong university</c:v>
                </c:pt>
                <c:pt idx="6">
                  <c:v>Changan university</c:v>
                </c:pt>
                <c:pt idx="7">
                  <c:v>University of alaska fairbanks</c:v>
                </c:pt>
                <c:pt idx="8">
                  <c:v>Lund university</c:v>
                </c:pt>
                <c:pt idx="9">
                  <c:v>Royal institute of technology</c:v>
                </c:pt>
              </c:strCache>
            </c:strRef>
          </c:cat>
          <c:val>
            <c:numRef>
              <c:f>Sheet2!$L$22:$L$31</c:f>
              <c:numCache>
                <c:formatCode>General</c:formatCode>
                <c:ptCount val="10"/>
                <c:pt idx="0">
                  <c:v>1</c:v>
                </c:pt>
                <c:pt idx="1">
                  <c:v>0.73333333333333328</c:v>
                </c:pt>
                <c:pt idx="2">
                  <c:v>0.66666666666666663</c:v>
                </c:pt>
                <c:pt idx="3">
                  <c:v>0.6</c:v>
                </c:pt>
                <c:pt idx="4">
                  <c:v>0.43333333333333335</c:v>
                </c:pt>
                <c:pt idx="5">
                  <c:v>0.26666666666666666</c:v>
                </c:pt>
                <c:pt idx="6">
                  <c:v>0.3</c:v>
                </c:pt>
                <c:pt idx="7">
                  <c:v>0.36666666666666664</c:v>
                </c:pt>
                <c:pt idx="8">
                  <c:v>0.43333333333333335</c:v>
                </c:pt>
                <c:pt idx="9">
                  <c:v>0.3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C327-400E-ADF7-41495418D144}"/>
            </c:ext>
          </c:extLst>
        </c:ser>
        <c:ser>
          <c:idx val="3"/>
          <c:order val="3"/>
          <c:tx>
            <c:strRef>
              <c:f>Sheet2!$M$21</c:f>
              <c:strCache>
                <c:ptCount val="1"/>
                <c:pt idx="0">
                  <c:v>hot articles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  <a:sp3d/>
          </c:spPr>
          <c:invertIfNegative val="0"/>
          <c:cat>
            <c:strRef>
              <c:f>Sheet2!$I$22:$I$31</c:f>
              <c:strCache>
                <c:ptCount val="10"/>
                <c:pt idx="0">
                  <c:v>Eur comm joint research centre</c:v>
                </c:pt>
                <c:pt idx="1">
                  <c:v>University of california davis</c:v>
                </c:pt>
                <c:pt idx="2">
                  <c:v>Simon fraser university</c:v>
                </c:pt>
                <c:pt idx="3">
                  <c:v>Washington state university</c:v>
                </c:pt>
                <c:pt idx="4">
                  <c:v>University of oxford</c:v>
                </c:pt>
                <c:pt idx="5">
                  <c:v>Beijing jiaotong university</c:v>
                </c:pt>
                <c:pt idx="6">
                  <c:v>Changan university</c:v>
                </c:pt>
                <c:pt idx="7">
                  <c:v>University of alaska fairbanks</c:v>
                </c:pt>
                <c:pt idx="8">
                  <c:v>Lund university</c:v>
                </c:pt>
                <c:pt idx="9">
                  <c:v>Royal institute of technology</c:v>
                </c:pt>
              </c:strCache>
            </c:strRef>
          </c:cat>
          <c:val>
            <c:numRef>
              <c:f>Sheet2!$M$22:$M$31</c:f>
              <c:numCache>
                <c:formatCode>General</c:formatCode>
                <c:ptCount val="10"/>
                <c:pt idx="0">
                  <c:v>1</c:v>
                </c:pt>
                <c:pt idx="1">
                  <c:v>0.47826086956521741</c:v>
                </c:pt>
                <c:pt idx="2">
                  <c:v>0.34782608695652173</c:v>
                </c:pt>
                <c:pt idx="3">
                  <c:v>0.39130434782608697</c:v>
                </c:pt>
                <c:pt idx="4">
                  <c:v>0.30434782608695654</c:v>
                </c:pt>
                <c:pt idx="5">
                  <c:v>4.3478260869565216E-2</c:v>
                </c:pt>
                <c:pt idx="6">
                  <c:v>4.3478260869565216E-2</c:v>
                </c:pt>
                <c:pt idx="7">
                  <c:v>0.17391304347826086</c:v>
                </c:pt>
                <c:pt idx="8">
                  <c:v>0.21739130434782608</c:v>
                </c:pt>
                <c:pt idx="9">
                  <c:v>0.13043478260869565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C327-400E-ADF7-41495418D14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58535152"/>
        <c:axId val="58531792"/>
        <c:axId val="0"/>
      </c:bar3DChart>
      <c:catAx>
        <c:axId val="5853515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8531792"/>
        <c:crosses val="autoZero"/>
        <c:auto val="1"/>
        <c:lblAlgn val="ctr"/>
        <c:lblOffset val="100"/>
        <c:noMultiLvlLbl val="0"/>
      </c:catAx>
      <c:valAx>
        <c:axId val="585317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85351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1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31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31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31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chart" Target="../charts/chart8.xml"/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22</xdr:col>
      <xdr:colOff>67236</xdr:colOff>
      <xdr:row>0</xdr:row>
      <xdr:rowOff>95832</xdr:rowOff>
    </xdr:from>
    <xdr:to>
      <xdr:col>30</xdr:col>
      <xdr:colOff>358589</xdr:colOff>
      <xdr:row>18</xdr:row>
      <xdr:rowOff>145676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EFE4F444-D1F4-B6BA-6B8C-77951237AE0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20</xdr:col>
      <xdr:colOff>21986</xdr:colOff>
      <xdr:row>38</xdr:row>
      <xdr:rowOff>119451</xdr:rowOff>
    </xdr:from>
    <xdr:to>
      <xdr:col>27</xdr:col>
      <xdr:colOff>415636</xdr:colOff>
      <xdr:row>53</xdr:row>
      <xdr:rowOff>294409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E39F22F9-0BD9-BFE8-3B5D-193DB8A8F3B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18</xdr:col>
      <xdr:colOff>314758</xdr:colOff>
      <xdr:row>54</xdr:row>
      <xdr:rowOff>163224</xdr:rowOff>
    </xdr:from>
    <xdr:to>
      <xdr:col>26</xdr:col>
      <xdr:colOff>502227</xdr:colOff>
      <xdr:row>67</xdr:row>
      <xdr:rowOff>173183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51BB0871-0877-74C8-B581-32A2EF4275C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31</xdr:col>
      <xdr:colOff>60614</xdr:colOff>
      <xdr:row>0</xdr:row>
      <xdr:rowOff>88398</xdr:rowOff>
    </xdr:from>
    <xdr:to>
      <xdr:col>38</xdr:col>
      <xdr:colOff>342222</xdr:colOff>
      <xdr:row>14</xdr:row>
      <xdr:rowOff>164598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D8E64028-1EDF-5490-D953-F4FAD77F9D7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29</xdr:col>
      <xdr:colOff>190500</xdr:colOff>
      <xdr:row>38</xdr:row>
      <xdr:rowOff>187035</xdr:rowOff>
    </xdr:from>
    <xdr:to>
      <xdr:col>39</xdr:col>
      <xdr:colOff>51955</xdr:colOff>
      <xdr:row>54</xdr:row>
      <xdr:rowOff>69272</xdr:rowOff>
    </xdr:to>
    <xdr:graphicFrame macro="">
      <xdr:nvGraphicFramePr>
        <xdr:cNvPr id="11" name="Chart 10">
          <a:extLst>
            <a:ext uri="{FF2B5EF4-FFF2-40B4-BE49-F238E27FC236}">
              <a16:creationId xmlns:a16="http://schemas.microsoft.com/office/drawing/2014/main" id="{10B5B9F3-85A6-E0ED-CB5E-8F613639AA2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29</xdr:col>
      <xdr:colOff>188337</xdr:colOff>
      <xdr:row>56</xdr:row>
      <xdr:rowOff>39832</xdr:rowOff>
    </xdr:from>
    <xdr:to>
      <xdr:col>35</xdr:col>
      <xdr:colOff>207819</xdr:colOff>
      <xdr:row>66</xdr:row>
      <xdr:rowOff>0</xdr:rowOff>
    </xdr:to>
    <xdr:graphicFrame macro="">
      <xdr:nvGraphicFramePr>
        <xdr:cNvPr id="12" name="Chart 11">
          <a:extLst>
            <a:ext uri="{FF2B5EF4-FFF2-40B4-BE49-F238E27FC236}">
              <a16:creationId xmlns:a16="http://schemas.microsoft.com/office/drawing/2014/main" id="{F1C76D54-FE84-C07A-8701-58FBE5C8D32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31</xdr:col>
      <xdr:colOff>103909</xdr:colOff>
      <xdr:row>16</xdr:row>
      <xdr:rowOff>155864</xdr:rowOff>
    </xdr:from>
    <xdr:to>
      <xdr:col>41</xdr:col>
      <xdr:colOff>294410</xdr:colOff>
      <xdr:row>38</xdr:row>
      <xdr:rowOff>1238</xdr:rowOff>
    </xdr:to>
    <xdr:graphicFrame macro="">
      <xdr:nvGraphicFramePr>
        <xdr:cNvPr id="16" name="Chart 15">
          <a:extLst>
            <a:ext uri="{FF2B5EF4-FFF2-40B4-BE49-F238E27FC236}">
              <a16:creationId xmlns:a16="http://schemas.microsoft.com/office/drawing/2014/main" id="{5538EA78-9520-73AB-8D56-4E32AE5337B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19</xdr:col>
      <xdr:colOff>86591</xdr:colOff>
      <xdr:row>19</xdr:row>
      <xdr:rowOff>169718</xdr:rowOff>
    </xdr:from>
    <xdr:to>
      <xdr:col>27</xdr:col>
      <xdr:colOff>190500</xdr:colOff>
      <xdr:row>37</xdr:row>
      <xdr:rowOff>138546</xdr:rowOff>
    </xdr:to>
    <xdr:graphicFrame macro="">
      <xdr:nvGraphicFramePr>
        <xdr:cNvPr id="17" name="Chart 16">
          <a:extLst>
            <a:ext uri="{FF2B5EF4-FFF2-40B4-BE49-F238E27FC236}">
              <a16:creationId xmlns:a16="http://schemas.microsoft.com/office/drawing/2014/main" id="{7A12308A-2180-B44C-83CA-62E389B3A7A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F913E1-E6E9-44D7-99AE-516453D8D04C}">
  <dimension ref="A1:V77"/>
  <sheetViews>
    <sheetView tabSelected="1" topLeftCell="A13" zoomScale="55" zoomScaleNormal="55" workbookViewId="0">
      <selection activeCell="AM66" sqref="AM66"/>
    </sheetView>
  </sheetViews>
  <sheetFormatPr defaultRowHeight="15" x14ac:dyDescent="0.25"/>
  <cols>
    <col min="1" max="1" width="27.85546875" customWidth="1"/>
  </cols>
  <sheetData>
    <row r="1" spans="1:22" x14ac:dyDescent="0.25">
      <c r="A1" s="1"/>
      <c r="B1" s="1"/>
      <c r="C1" s="1"/>
      <c r="D1" s="1"/>
      <c r="E1" s="1" t="s">
        <v>0</v>
      </c>
      <c r="F1" s="1"/>
      <c r="G1" s="1"/>
      <c r="H1" s="1"/>
      <c r="I1" s="1"/>
      <c r="J1" s="1"/>
      <c r="L1" s="11"/>
      <c r="M1" s="1"/>
      <c r="N1" s="1"/>
      <c r="O1" s="1"/>
      <c r="P1" s="1" t="s">
        <v>0</v>
      </c>
      <c r="Q1" s="1"/>
      <c r="R1" s="1"/>
      <c r="S1" s="1"/>
      <c r="T1" s="1"/>
      <c r="U1" s="1"/>
      <c r="V1" s="1"/>
    </row>
    <row r="2" spans="1:22" x14ac:dyDescent="0.25">
      <c r="A2" s="1" t="s">
        <v>73</v>
      </c>
      <c r="B2" s="1" t="s">
        <v>2</v>
      </c>
      <c r="C2" s="1" t="s">
        <v>3</v>
      </c>
      <c r="D2" s="1" t="s">
        <v>4</v>
      </c>
      <c r="E2" s="16" t="s">
        <v>5</v>
      </c>
      <c r="F2" s="16"/>
      <c r="G2" s="16" t="s">
        <v>8</v>
      </c>
      <c r="H2" s="16"/>
      <c r="I2" s="16"/>
      <c r="J2" s="1" t="s">
        <v>21</v>
      </c>
      <c r="L2" s="11" t="s">
        <v>1</v>
      </c>
      <c r="M2" s="1" t="s">
        <v>2</v>
      </c>
      <c r="N2" s="1" t="s">
        <v>3</v>
      </c>
      <c r="O2" s="1" t="s">
        <v>4</v>
      </c>
      <c r="P2" s="16" t="s">
        <v>5</v>
      </c>
      <c r="Q2" s="16"/>
      <c r="R2" s="16" t="s">
        <v>8</v>
      </c>
      <c r="S2" s="16"/>
      <c r="T2" s="16"/>
      <c r="U2" s="1" t="s">
        <v>21</v>
      </c>
      <c r="V2" s="1"/>
    </row>
    <row r="3" spans="1:22" x14ac:dyDescent="0.25">
      <c r="A3" s="2"/>
      <c r="B3" s="2"/>
      <c r="C3" s="2"/>
      <c r="D3" s="2"/>
      <c r="E3" s="2" t="s">
        <v>7</v>
      </c>
      <c r="F3" s="2" t="s">
        <v>6</v>
      </c>
      <c r="G3" s="2" t="s">
        <v>9</v>
      </c>
      <c r="H3" s="2" t="s">
        <v>10</v>
      </c>
      <c r="I3" s="2" t="s">
        <v>6</v>
      </c>
      <c r="J3" s="2"/>
      <c r="L3" s="11" t="s">
        <v>73</v>
      </c>
      <c r="M3" s="1" t="s">
        <v>88</v>
      </c>
      <c r="N3" s="1" t="s">
        <v>89</v>
      </c>
      <c r="O3" s="1" t="s">
        <v>82</v>
      </c>
      <c r="P3" s="2" t="s">
        <v>7</v>
      </c>
      <c r="Q3" s="2" t="s">
        <v>90</v>
      </c>
      <c r="R3" s="2" t="s">
        <v>91</v>
      </c>
      <c r="S3" s="2" t="s">
        <v>92</v>
      </c>
      <c r="T3" s="2" t="s">
        <v>93</v>
      </c>
      <c r="U3" s="1" t="s">
        <v>94</v>
      </c>
      <c r="V3" s="1" t="s">
        <v>51</v>
      </c>
    </row>
    <row r="4" spans="1:22" x14ac:dyDescent="0.25">
      <c r="A4" s="1" t="s">
        <v>11</v>
      </c>
      <c r="B4" s="1">
        <v>196</v>
      </c>
      <c r="C4" s="1">
        <f t="shared" ref="C4:C13" si="0">B4*100/1172</f>
        <v>16.723549488054609</v>
      </c>
      <c r="D4" s="1">
        <v>4739</v>
      </c>
      <c r="E4" s="1">
        <v>181</v>
      </c>
      <c r="F4" s="1">
        <v>167</v>
      </c>
      <c r="G4" s="1">
        <v>14</v>
      </c>
      <c r="H4" s="1">
        <v>1282</v>
      </c>
      <c r="I4" s="1">
        <v>13</v>
      </c>
      <c r="J4" s="1">
        <v>14</v>
      </c>
      <c r="L4" s="11" t="s">
        <v>11</v>
      </c>
      <c r="M4" s="1">
        <f>B4/$B$14</f>
        <v>1</v>
      </c>
      <c r="N4" s="1">
        <f>C4/$C$14</f>
        <v>1</v>
      </c>
      <c r="O4" s="1">
        <f>D4/$D$14</f>
        <v>0.70416047548291238</v>
      </c>
      <c r="P4" s="1">
        <f>E4/$E$14</f>
        <v>1</v>
      </c>
      <c r="Q4" s="1">
        <f>F4/$F$14</f>
        <v>1</v>
      </c>
      <c r="R4" s="1">
        <f>G4/$G$14</f>
        <v>0.48275862068965519</v>
      </c>
      <c r="S4" s="1">
        <f>H4/$H$14</f>
        <v>0.45982783357245338</v>
      </c>
      <c r="T4" s="1">
        <f t="shared" ref="T4:T13" si="1">I4/$I$14</f>
        <v>0.61904761904761907</v>
      </c>
      <c r="U4" s="1">
        <f>J4/$J$14</f>
        <v>0.48275862068965519</v>
      </c>
      <c r="V4" s="1">
        <f>SUM(M4:U4)</f>
        <v>6.7485531694822942</v>
      </c>
    </row>
    <row r="5" spans="1:22" x14ac:dyDescent="0.25">
      <c r="A5" s="1" t="s">
        <v>12</v>
      </c>
      <c r="B5" s="1">
        <v>151</v>
      </c>
      <c r="C5" s="1">
        <f t="shared" si="0"/>
        <v>12.8839590443686</v>
      </c>
      <c r="D5" s="1">
        <v>6730</v>
      </c>
      <c r="E5" s="1">
        <v>141</v>
      </c>
      <c r="F5" s="1">
        <v>100</v>
      </c>
      <c r="G5" s="1">
        <v>29</v>
      </c>
      <c r="H5" s="1">
        <v>2788</v>
      </c>
      <c r="I5" s="1">
        <v>21</v>
      </c>
      <c r="J5" s="1">
        <v>29</v>
      </c>
      <c r="L5" s="11" t="s">
        <v>12</v>
      </c>
      <c r="M5" s="1">
        <f t="shared" ref="M5:M13" si="2">B5/$B$14</f>
        <v>0.77040816326530615</v>
      </c>
      <c r="N5" s="1">
        <f t="shared" ref="N5:N13" si="3">C5/$C$14</f>
        <v>0.77040816326530603</v>
      </c>
      <c r="O5" s="1">
        <f t="shared" ref="O5:O13" si="4">D5/$D$14</f>
        <v>1</v>
      </c>
      <c r="P5" s="1">
        <f t="shared" ref="P5:P13" si="5">E5/$E$14</f>
        <v>0.77900552486187846</v>
      </c>
      <c r="Q5" s="1">
        <f t="shared" ref="Q5:Q13" si="6">F5/$F$14</f>
        <v>0.59880239520958078</v>
      </c>
      <c r="R5" s="1">
        <f t="shared" ref="R5:R13" si="7">G5/$G$14</f>
        <v>1</v>
      </c>
      <c r="S5" s="1">
        <f t="shared" ref="S5:S13" si="8">H5/$H$14</f>
        <v>1</v>
      </c>
      <c r="T5" s="1">
        <f t="shared" si="1"/>
        <v>1</v>
      </c>
      <c r="U5" s="1">
        <f t="shared" ref="U5:U13" si="9">J5/$J$14</f>
        <v>1</v>
      </c>
      <c r="V5" s="1">
        <f t="shared" ref="V5:V13" si="10">SUM(M5:U5)</f>
        <v>7.9186242466020715</v>
      </c>
    </row>
    <row r="6" spans="1:22" x14ac:dyDescent="0.25">
      <c r="A6" s="1" t="s">
        <v>13</v>
      </c>
      <c r="B6" s="1">
        <v>76</v>
      </c>
      <c r="C6" s="1">
        <f t="shared" si="0"/>
        <v>6.4846416382252556</v>
      </c>
      <c r="D6" s="1">
        <v>3796</v>
      </c>
      <c r="E6" s="1">
        <v>72</v>
      </c>
      <c r="F6" s="1">
        <v>69</v>
      </c>
      <c r="G6" s="1">
        <v>14</v>
      </c>
      <c r="H6" s="1">
        <v>1632</v>
      </c>
      <c r="I6" s="1">
        <v>14</v>
      </c>
      <c r="J6" s="1">
        <v>14</v>
      </c>
      <c r="L6" s="11" t="s">
        <v>13</v>
      </c>
      <c r="M6" s="1">
        <f t="shared" si="2"/>
        <v>0.38775510204081631</v>
      </c>
      <c r="N6" s="1">
        <f t="shared" si="3"/>
        <v>0.38775510204081626</v>
      </c>
      <c r="O6" s="1">
        <f t="shared" si="4"/>
        <v>0.56404160475482912</v>
      </c>
      <c r="P6" s="1">
        <f t="shared" si="5"/>
        <v>0.39779005524861877</v>
      </c>
      <c r="Q6" s="1">
        <f t="shared" si="6"/>
        <v>0.41317365269461076</v>
      </c>
      <c r="R6" s="1">
        <f t="shared" si="7"/>
        <v>0.48275862068965519</v>
      </c>
      <c r="S6" s="1">
        <f t="shared" si="8"/>
        <v>0.58536585365853655</v>
      </c>
      <c r="T6" s="1">
        <f t="shared" si="1"/>
        <v>0.66666666666666663</v>
      </c>
      <c r="U6" s="1">
        <f t="shared" si="9"/>
        <v>0.48275862068965519</v>
      </c>
      <c r="V6" s="1">
        <f t="shared" si="10"/>
        <v>4.3680652784842051</v>
      </c>
    </row>
    <row r="7" spans="1:22" x14ac:dyDescent="0.25">
      <c r="A7" s="1" t="s">
        <v>14</v>
      </c>
      <c r="B7" s="1">
        <v>61</v>
      </c>
      <c r="C7" s="1">
        <f t="shared" si="0"/>
        <v>5.2047781569965874</v>
      </c>
      <c r="D7" s="1">
        <v>2837</v>
      </c>
      <c r="E7" s="1">
        <v>61</v>
      </c>
      <c r="F7" s="1">
        <v>52</v>
      </c>
      <c r="G7" s="1">
        <v>7</v>
      </c>
      <c r="H7" s="1">
        <v>654</v>
      </c>
      <c r="I7" s="1">
        <v>7</v>
      </c>
      <c r="J7" s="1">
        <v>7</v>
      </c>
      <c r="L7" s="11" t="s">
        <v>14</v>
      </c>
      <c r="M7" s="1">
        <f t="shared" si="2"/>
        <v>0.31122448979591838</v>
      </c>
      <c r="N7" s="1">
        <f t="shared" si="3"/>
        <v>0.31122448979591838</v>
      </c>
      <c r="O7" s="1">
        <f t="shared" si="4"/>
        <v>0.42154531946508172</v>
      </c>
      <c r="P7" s="1">
        <f t="shared" si="5"/>
        <v>0.33701657458563539</v>
      </c>
      <c r="Q7" s="1">
        <f t="shared" si="6"/>
        <v>0.31137724550898205</v>
      </c>
      <c r="R7" s="1">
        <f t="shared" si="7"/>
        <v>0.2413793103448276</v>
      </c>
      <c r="S7" s="1">
        <f t="shared" si="8"/>
        <v>0.23457675753228122</v>
      </c>
      <c r="T7" s="1">
        <f t="shared" si="1"/>
        <v>0.33333333333333331</v>
      </c>
      <c r="U7" s="1">
        <f t="shared" si="9"/>
        <v>0.2413793103448276</v>
      </c>
      <c r="V7" s="1">
        <f t="shared" si="10"/>
        <v>2.7430568307068053</v>
      </c>
    </row>
    <row r="8" spans="1:22" x14ac:dyDescent="0.25">
      <c r="A8" s="1" t="s">
        <v>16</v>
      </c>
      <c r="B8" s="1">
        <v>60</v>
      </c>
      <c r="C8" s="1">
        <f t="shared" si="0"/>
        <v>5.1194539249146755</v>
      </c>
      <c r="D8" s="1">
        <v>2201</v>
      </c>
      <c r="E8" s="1">
        <v>59</v>
      </c>
      <c r="F8" s="1">
        <v>53</v>
      </c>
      <c r="G8" s="1">
        <v>5</v>
      </c>
      <c r="H8" s="1">
        <v>845</v>
      </c>
      <c r="I8" s="1">
        <v>5</v>
      </c>
      <c r="J8" s="1">
        <v>5</v>
      </c>
      <c r="L8" s="11" t="s">
        <v>16</v>
      </c>
      <c r="M8" s="1">
        <f t="shared" si="2"/>
        <v>0.30612244897959184</v>
      </c>
      <c r="N8" s="1">
        <f t="shared" si="3"/>
        <v>0.30612244897959179</v>
      </c>
      <c r="O8" s="1">
        <f t="shared" si="4"/>
        <v>0.32704309063893017</v>
      </c>
      <c r="P8" s="1">
        <f t="shared" si="5"/>
        <v>0.32596685082872928</v>
      </c>
      <c r="Q8" s="1">
        <f t="shared" si="6"/>
        <v>0.31736526946107785</v>
      </c>
      <c r="R8" s="1">
        <f t="shared" si="7"/>
        <v>0.17241379310344829</v>
      </c>
      <c r="S8" s="1">
        <f t="shared" si="8"/>
        <v>0.30308464849354377</v>
      </c>
      <c r="T8" s="1">
        <f t="shared" si="1"/>
        <v>0.23809523809523808</v>
      </c>
      <c r="U8" s="1">
        <f t="shared" si="9"/>
        <v>0.17241379310344829</v>
      </c>
      <c r="V8" s="1">
        <f t="shared" si="10"/>
        <v>2.4686275816835996</v>
      </c>
    </row>
    <row r="9" spans="1:22" x14ac:dyDescent="0.25">
      <c r="A9" s="1" t="s">
        <v>15</v>
      </c>
      <c r="B9" s="1">
        <v>56</v>
      </c>
      <c r="C9" s="1">
        <f t="shared" si="0"/>
        <v>4.7781569965870307</v>
      </c>
      <c r="D9" s="1">
        <v>4210</v>
      </c>
      <c r="E9" s="1">
        <v>55</v>
      </c>
      <c r="F9" s="1">
        <v>33</v>
      </c>
      <c r="G9" s="1">
        <v>15</v>
      </c>
      <c r="H9" s="1">
        <v>1788</v>
      </c>
      <c r="I9" s="1">
        <v>6</v>
      </c>
      <c r="J9" s="1">
        <v>15</v>
      </c>
      <c r="L9" s="11" t="s">
        <v>15</v>
      </c>
      <c r="M9" s="1">
        <f t="shared" si="2"/>
        <v>0.2857142857142857</v>
      </c>
      <c r="N9" s="1">
        <f t="shared" si="3"/>
        <v>0.2857142857142857</v>
      </c>
      <c r="O9" s="1">
        <f t="shared" si="4"/>
        <v>0.62555720653789004</v>
      </c>
      <c r="P9" s="1">
        <f t="shared" si="5"/>
        <v>0.30386740331491713</v>
      </c>
      <c r="Q9" s="1">
        <f t="shared" si="6"/>
        <v>0.19760479041916168</v>
      </c>
      <c r="R9" s="1">
        <f t="shared" si="7"/>
        <v>0.51724137931034486</v>
      </c>
      <c r="S9" s="1">
        <f t="shared" si="8"/>
        <v>0.64131994261119085</v>
      </c>
      <c r="T9" s="1">
        <f t="shared" si="1"/>
        <v>0.2857142857142857</v>
      </c>
      <c r="U9" s="1">
        <f t="shared" si="9"/>
        <v>0.51724137931034486</v>
      </c>
      <c r="V9" s="1">
        <f t="shared" si="10"/>
        <v>3.6599749586467065</v>
      </c>
    </row>
    <row r="10" spans="1:22" x14ac:dyDescent="0.25">
      <c r="A10" s="1" t="s">
        <v>17</v>
      </c>
      <c r="B10" s="1">
        <v>55</v>
      </c>
      <c r="C10" s="1">
        <f t="shared" si="0"/>
        <v>4.6928327645051198</v>
      </c>
      <c r="D10" s="1">
        <v>1784</v>
      </c>
      <c r="E10" s="1">
        <v>53</v>
      </c>
      <c r="F10" s="1">
        <v>32</v>
      </c>
      <c r="G10" s="1">
        <v>12</v>
      </c>
      <c r="H10" s="1">
        <v>881</v>
      </c>
      <c r="I10" s="1">
        <v>9</v>
      </c>
      <c r="J10" s="1">
        <v>12</v>
      </c>
      <c r="L10" s="11" t="s">
        <v>17</v>
      </c>
      <c r="M10" s="1">
        <f t="shared" si="2"/>
        <v>0.28061224489795916</v>
      </c>
      <c r="N10" s="1">
        <f t="shared" si="3"/>
        <v>0.28061224489795916</v>
      </c>
      <c r="O10" s="1">
        <f t="shared" si="4"/>
        <v>0.26508172362555721</v>
      </c>
      <c r="P10" s="1">
        <f t="shared" si="5"/>
        <v>0.29281767955801102</v>
      </c>
      <c r="Q10" s="1">
        <f t="shared" si="6"/>
        <v>0.19161676646706588</v>
      </c>
      <c r="R10" s="1">
        <f t="shared" si="7"/>
        <v>0.41379310344827586</v>
      </c>
      <c r="S10" s="1">
        <f t="shared" si="8"/>
        <v>0.31599713055954087</v>
      </c>
      <c r="T10" s="1">
        <f t="shared" si="1"/>
        <v>0.42857142857142855</v>
      </c>
      <c r="U10" s="1">
        <f t="shared" si="9"/>
        <v>0.41379310344827586</v>
      </c>
      <c r="V10" s="1">
        <f t="shared" si="10"/>
        <v>2.8828954254740733</v>
      </c>
    </row>
    <row r="11" spans="1:22" x14ac:dyDescent="0.25">
      <c r="A11" s="1" t="s">
        <v>18</v>
      </c>
      <c r="B11" s="1">
        <v>46</v>
      </c>
      <c r="C11" s="1">
        <f t="shared" si="0"/>
        <v>3.9249146757679183</v>
      </c>
      <c r="D11" s="1">
        <v>2256</v>
      </c>
      <c r="E11" s="1">
        <v>44</v>
      </c>
      <c r="F11" s="1">
        <v>32</v>
      </c>
      <c r="G11" s="1">
        <v>8</v>
      </c>
      <c r="H11" s="1">
        <v>560</v>
      </c>
      <c r="I11" s="1">
        <v>7</v>
      </c>
      <c r="J11" s="1">
        <v>8</v>
      </c>
      <c r="L11" s="11" t="s">
        <v>18</v>
      </c>
      <c r="M11" s="1">
        <f t="shared" si="2"/>
        <v>0.23469387755102042</v>
      </c>
      <c r="N11" s="1">
        <f t="shared" si="3"/>
        <v>0.23469387755102042</v>
      </c>
      <c r="O11" s="1">
        <f t="shared" si="4"/>
        <v>0.33521545319465079</v>
      </c>
      <c r="P11" s="1">
        <f t="shared" si="5"/>
        <v>0.24309392265193369</v>
      </c>
      <c r="Q11" s="1">
        <f t="shared" si="6"/>
        <v>0.19161676646706588</v>
      </c>
      <c r="R11" s="1">
        <f t="shared" si="7"/>
        <v>0.27586206896551724</v>
      </c>
      <c r="S11" s="1">
        <f t="shared" si="8"/>
        <v>0.20086083213773315</v>
      </c>
      <c r="T11" s="1">
        <f t="shared" si="1"/>
        <v>0.33333333333333331</v>
      </c>
      <c r="U11" s="1">
        <f t="shared" si="9"/>
        <v>0.27586206896551724</v>
      </c>
      <c r="V11" s="1">
        <f t="shared" si="10"/>
        <v>2.3252322008177924</v>
      </c>
    </row>
    <row r="12" spans="1:22" x14ac:dyDescent="0.25">
      <c r="A12" s="1" t="s">
        <v>20</v>
      </c>
      <c r="B12" s="1">
        <v>30</v>
      </c>
      <c r="C12" s="1">
        <f t="shared" si="0"/>
        <v>2.5597269624573378</v>
      </c>
      <c r="D12" s="1">
        <v>1176</v>
      </c>
      <c r="E12" s="1">
        <v>28</v>
      </c>
      <c r="F12" s="1">
        <v>25</v>
      </c>
      <c r="G12" s="1">
        <v>4</v>
      </c>
      <c r="H12" s="1">
        <v>266</v>
      </c>
      <c r="I12" s="1">
        <v>4</v>
      </c>
      <c r="J12" s="1">
        <v>4</v>
      </c>
      <c r="L12" s="11" t="s">
        <v>20</v>
      </c>
      <c r="M12" s="1">
        <f t="shared" si="2"/>
        <v>0.15306122448979592</v>
      </c>
      <c r="N12" s="1">
        <f t="shared" si="3"/>
        <v>0.15306122448979589</v>
      </c>
      <c r="O12" s="1">
        <f t="shared" si="4"/>
        <v>0.17473997028231797</v>
      </c>
      <c r="P12" s="1">
        <f t="shared" si="5"/>
        <v>0.15469613259668508</v>
      </c>
      <c r="Q12" s="1">
        <f t="shared" si="6"/>
        <v>0.1497005988023952</v>
      </c>
      <c r="R12" s="1">
        <f t="shared" si="7"/>
        <v>0.13793103448275862</v>
      </c>
      <c r="S12" s="1">
        <f t="shared" si="8"/>
        <v>9.5408895265423246E-2</v>
      </c>
      <c r="T12" s="1">
        <f t="shared" si="1"/>
        <v>0.19047619047619047</v>
      </c>
      <c r="U12" s="1">
        <f t="shared" si="9"/>
        <v>0.13793103448275862</v>
      </c>
      <c r="V12" s="1">
        <f t="shared" si="10"/>
        <v>1.3470063053681212</v>
      </c>
    </row>
    <row r="13" spans="1:22" x14ac:dyDescent="0.25">
      <c r="A13" s="1" t="s">
        <v>19</v>
      </c>
      <c r="B13" s="1">
        <v>25</v>
      </c>
      <c r="C13" s="1">
        <f t="shared" si="0"/>
        <v>2.1331058020477816</v>
      </c>
      <c r="D13" s="1">
        <v>1218</v>
      </c>
      <c r="E13" s="1">
        <v>25</v>
      </c>
      <c r="F13" s="1">
        <v>22</v>
      </c>
      <c r="G13" s="1">
        <v>4</v>
      </c>
      <c r="H13" s="1">
        <v>264</v>
      </c>
      <c r="I13" s="1">
        <v>4</v>
      </c>
      <c r="J13" s="1">
        <v>4</v>
      </c>
      <c r="L13" s="11" t="s">
        <v>19</v>
      </c>
      <c r="M13" s="1">
        <f t="shared" si="2"/>
        <v>0.12755102040816327</v>
      </c>
      <c r="N13" s="1">
        <f t="shared" si="3"/>
        <v>0.12755102040816327</v>
      </c>
      <c r="O13" s="1">
        <f t="shared" si="4"/>
        <v>0.18098068350668647</v>
      </c>
      <c r="P13" s="1">
        <f t="shared" si="5"/>
        <v>0.13812154696132597</v>
      </c>
      <c r="Q13" s="1">
        <f t="shared" si="6"/>
        <v>0.1317365269461078</v>
      </c>
      <c r="R13" s="1">
        <f t="shared" si="7"/>
        <v>0.13793103448275862</v>
      </c>
      <c r="S13" s="1">
        <f t="shared" si="8"/>
        <v>9.4691535150645628E-2</v>
      </c>
      <c r="T13" s="1">
        <f t="shared" si="1"/>
        <v>0.19047619047619047</v>
      </c>
      <c r="U13" s="1">
        <f t="shared" si="9"/>
        <v>0.13793103448275862</v>
      </c>
      <c r="V13" s="1">
        <f t="shared" si="10"/>
        <v>1.2669705928228001</v>
      </c>
    </row>
    <row r="14" spans="1:22" x14ac:dyDescent="0.25">
      <c r="B14">
        <f t="shared" ref="B14:J14" si="11">MAX(B4:B13)</f>
        <v>196</v>
      </c>
      <c r="C14" s="1">
        <f t="shared" si="11"/>
        <v>16.723549488054609</v>
      </c>
      <c r="D14">
        <f t="shared" si="11"/>
        <v>6730</v>
      </c>
      <c r="E14">
        <f t="shared" si="11"/>
        <v>181</v>
      </c>
      <c r="F14">
        <f t="shared" si="11"/>
        <v>167</v>
      </c>
      <c r="G14">
        <f t="shared" si="11"/>
        <v>29</v>
      </c>
      <c r="H14">
        <f t="shared" si="11"/>
        <v>2788</v>
      </c>
      <c r="I14">
        <f t="shared" si="11"/>
        <v>21</v>
      </c>
      <c r="J14">
        <f t="shared" si="11"/>
        <v>29</v>
      </c>
    </row>
    <row r="20" spans="1:14" x14ac:dyDescent="0.25">
      <c r="A20" s="3"/>
      <c r="B20" s="3"/>
      <c r="C20" s="3"/>
      <c r="D20" s="3" t="s">
        <v>26</v>
      </c>
      <c r="E20" s="3"/>
      <c r="F20" s="3"/>
      <c r="G20" s="4"/>
      <c r="I20" s="3"/>
      <c r="J20" s="3"/>
      <c r="K20" s="3"/>
      <c r="L20" s="3" t="s">
        <v>26</v>
      </c>
      <c r="M20" s="3"/>
      <c r="N20" s="3"/>
    </row>
    <row r="21" spans="1:14" x14ac:dyDescent="0.25">
      <c r="A21" s="3" t="s">
        <v>72</v>
      </c>
      <c r="B21" s="3" t="s">
        <v>22</v>
      </c>
      <c r="C21" s="3" t="s">
        <v>23</v>
      </c>
      <c r="D21" s="3" t="s">
        <v>24</v>
      </c>
      <c r="E21" s="3" t="s">
        <v>25</v>
      </c>
      <c r="F21" s="3" t="s">
        <v>27</v>
      </c>
      <c r="G21" s="4" t="s">
        <v>28</v>
      </c>
      <c r="I21" s="3" t="s">
        <v>72</v>
      </c>
      <c r="J21" s="3" t="s">
        <v>29</v>
      </c>
      <c r="K21" s="3" t="s">
        <v>10</v>
      </c>
      <c r="L21" s="3" t="s">
        <v>30</v>
      </c>
      <c r="M21" s="3" t="s">
        <v>31</v>
      </c>
      <c r="N21" s="4" t="s">
        <v>51</v>
      </c>
    </row>
    <row r="22" spans="1:14" x14ac:dyDescent="0.25">
      <c r="A22" s="3" t="s">
        <v>52</v>
      </c>
      <c r="B22" s="3">
        <v>45</v>
      </c>
      <c r="C22" s="3">
        <v>3382</v>
      </c>
      <c r="D22" s="3">
        <v>30</v>
      </c>
      <c r="E22" s="3">
        <v>23</v>
      </c>
      <c r="F22" s="3">
        <f>B22*100/1172</f>
        <v>3.8395904436860069</v>
      </c>
      <c r="G22" s="4">
        <f>C22*100/28178</f>
        <v>12.002271275463126</v>
      </c>
      <c r="I22" s="3" t="s">
        <v>81</v>
      </c>
      <c r="J22" s="3">
        <f>B22/$B$32</f>
        <v>1</v>
      </c>
      <c r="K22" s="3">
        <f>C22/$C$32</f>
        <v>1</v>
      </c>
      <c r="L22" s="3">
        <f>D22/$D$32</f>
        <v>1</v>
      </c>
      <c r="M22" s="3">
        <f>E22/$E$32</f>
        <v>1</v>
      </c>
      <c r="N22" s="4">
        <f ca="1">SUM(J22:O22)</f>
        <v>4</v>
      </c>
    </row>
    <row r="23" spans="1:14" x14ac:dyDescent="0.25">
      <c r="A23" s="3" t="s">
        <v>53</v>
      </c>
      <c r="B23" s="3">
        <v>32</v>
      </c>
      <c r="C23" s="3">
        <v>2125</v>
      </c>
      <c r="D23" s="3">
        <v>22</v>
      </c>
      <c r="E23" s="3">
        <v>11</v>
      </c>
      <c r="F23" s="3">
        <f t="shared" ref="F23:F31" si="12">B23*100/1172</f>
        <v>2.7303754266211606</v>
      </c>
      <c r="G23" s="4">
        <f t="shared" ref="G23:G31" si="13">C23*100/28178</f>
        <v>7.541344311164738</v>
      </c>
      <c r="I23" s="3" t="s">
        <v>53</v>
      </c>
      <c r="J23" s="3">
        <f t="shared" ref="J23:J31" si="14">B23/$B$32</f>
        <v>0.71111111111111114</v>
      </c>
      <c r="K23" s="3">
        <f t="shared" ref="K23:K31" si="15">C23/$C$32</f>
        <v>0.62832643406268485</v>
      </c>
      <c r="L23" s="3">
        <f t="shared" ref="L23:L31" si="16">D23/$D$32</f>
        <v>0.73333333333333328</v>
      </c>
      <c r="M23" s="3">
        <f t="shared" ref="M23:M31" si="17">E23/$E$32</f>
        <v>0.47826086956521741</v>
      </c>
      <c r="N23" s="4">
        <f ca="1">SUM(J23:O23)</f>
        <v>2.5510317480723468</v>
      </c>
    </row>
    <row r="24" spans="1:14" x14ac:dyDescent="0.25">
      <c r="A24" s="3" t="s">
        <v>54</v>
      </c>
      <c r="B24" s="3">
        <v>29</v>
      </c>
      <c r="C24" s="3">
        <v>1049</v>
      </c>
      <c r="D24" s="3">
        <v>20</v>
      </c>
      <c r="E24" s="3">
        <v>8</v>
      </c>
      <c r="F24" s="3">
        <f t="shared" si="12"/>
        <v>2.4744027303754268</v>
      </c>
      <c r="G24" s="4">
        <f t="shared" si="13"/>
        <v>3.7227624387820284</v>
      </c>
      <c r="I24" s="3" t="s">
        <v>54</v>
      </c>
      <c r="J24" s="3">
        <f t="shared" si="14"/>
        <v>0.64444444444444449</v>
      </c>
      <c r="K24" s="3">
        <f t="shared" si="15"/>
        <v>0.31017149615612066</v>
      </c>
      <c r="L24" s="3">
        <f t="shared" si="16"/>
        <v>0.66666666666666663</v>
      </c>
      <c r="M24" s="3">
        <f t="shared" si="17"/>
        <v>0.34782608695652173</v>
      </c>
      <c r="N24" s="4">
        <f ca="1">SUM(J24:O24)</f>
        <v>1.9691086942237537</v>
      </c>
    </row>
    <row r="25" spans="1:14" x14ac:dyDescent="0.25">
      <c r="A25" s="3" t="s">
        <v>55</v>
      </c>
      <c r="B25" s="3">
        <v>29</v>
      </c>
      <c r="C25" s="3">
        <v>1152</v>
      </c>
      <c r="D25" s="3">
        <v>18</v>
      </c>
      <c r="E25" s="3">
        <v>9</v>
      </c>
      <c r="F25" s="3">
        <f t="shared" si="12"/>
        <v>2.4744027303754268</v>
      </c>
      <c r="G25" s="4">
        <f t="shared" si="13"/>
        <v>4.088295833629072</v>
      </c>
      <c r="I25" s="3" t="s">
        <v>55</v>
      </c>
      <c r="J25" s="3">
        <f t="shared" si="14"/>
        <v>0.64444444444444449</v>
      </c>
      <c r="K25" s="3">
        <f t="shared" si="15"/>
        <v>0.34062684801892373</v>
      </c>
      <c r="L25" s="3">
        <f t="shared" si="16"/>
        <v>0.6</v>
      </c>
      <c r="M25" s="3">
        <f t="shared" si="17"/>
        <v>0.39130434782608697</v>
      </c>
      <c r="N25" s="4">
        <f ca="1">SUM(J25:O25)</f>
        <v>1.9763756402894552</v>
      </c>
    </row>
    <row r="26" spans="1:14" x14ac:dyDescent="0.25">
      <c r="A26" s="3" t="s">
        <v>56</v>
      </c>
      <c r="B26" s="3">
        <v>19</v>
      </c>
      <c r="C26" s="3">
        <v>1226</v>
      </c>
      <c r="D26" s="3">
        <v>13</v>
      </c>
      <c r="E26" s="3">
        <v>7</v>
      </c>
      <c r="F26" s="3">
        <f t="shared" si="12"/>
        <v>1.6211604095563139</v>
      </c>
      <c r="G26" s="4">
        <f t="shared" si="13"/>
        <v>4.3509120590531625</v>
      </c>
      <c r="I26" s="3" t="s">
        <v>56</v>
      </c>
      <c r="J26" s="3">
        <f t="shared" si="14"/>
        <v>0.42222222222222222</v>
      </c>
      <c r="K26" s="3">
        <f t="shared" si="15"/>
        <v>0.36250739207569488</v>
      </c>
      <c r="L26" s="3">
        <f t="shared" si="16"/>
        <v>0.43333333333333335</v>
      </c>
      <c r="M26" s="3">
        <f t="shared" si="17"/>
        <v>0.30434782608695654</v>
      </c>
      <c r="N26" s="4">
        <f ca="1">SUM(J26:O26)</f>
        <v>1.5224107737182071</v>
      </c>
    </row>
    <row r="27" spans="1:14" x14ac:dyDescent="0.25">
      <c r="A27" s="3" t="s">
        <v>57</v>
      </c>
      <c r="B27" s="3">
        <v>19</v>
      </c>
      <c r="C27" s="3">
        <v>187</v>
      </c>
      <c r="D27" s="3">
        <v>8</v>
      </c>
      <c r="E27" s="3">
        <v>1</v>
      </c>
      <c r="F27" s="3">
        <f t="shared" si="12"/>
        <v>1.6211604095563139</v>
      </c>
      <c r="G27" s="4">
        <f t="shared" si="13"/>
        <v>0.66363829938249697</v>
      </c>
      <c r="I27" s="3" t="s">
        <v>57</v>
      </c>
      <c r="J27" s="3">
        <f t="shared" si="14"/>
        <v>0.42222222222222222</v>
      </c>
      <c r="K27" s="3">
        <f t="shared" si="15"/>
        <v>5.5292726197516261E-2</v>
      </c>
      <c r="L27" s="3">
        <f t="shared" si="16"/>
        <v>0.26666666666666666</v>
      </c>
      <c r="M27" s="3">
        <f t="shared" si="17"/>
        <v>4.3478260869565216E-2</v>
      </c>
      <c r="N27" s="4">
        <f ca="1">SUM(J27:O27)</f>
        <v>0.78765987595597031</v>
      </c>
    </row>
    <row r="28" spans="1:14" x14ac:dyDescent="0.25">
      <c r="A28" s="3" t="s">
        <v>58</v>
      </c>
      <c r="B28" s="3">
        <v>18</v>
      </c>
      <c r="C28" s="3">
        <v>190</v>
      </c>
      <c r="D28" s="3">
        <v>9</v>
      </c>
      <c r="E28" s="3">
        <v>1</v>
      </c>
      <c r="F28" s="3">
        <f t="shared" si="12"/>
        <v>1.5358361774744027</v>
      </c>
      <c r="G28" s="4">
        <f t="shared" si="13"/>
        <v>0.67428490311590605</v>
      </c>
      <c r="I28" s="3" t="s">
        <v>58</v>
      </c>
      <c r="J28" s="3">
        <f t="shared" si="14"/>
        <v>0.4</v>
      </c>
      <c r="K28" s="3">
        <f t="shared" si="15"/>
        <v>5.6179775280898875E-2</v>
      </c>
      <c r="L28" s="3">
        <f t="shared" si="16"/>
        <v>0.3</v>
      </c>
      <c r="M28" s="3">
        <f t="shared" si="17"/>
        <v>4.3478260869565216E-2</v>
      </c>
      <c r="N28" s="4">
        <f ca="1">SUM(J28:O28)</f>
        <v>0.79965803615046416</v>
      </c>
    </row>
    <row r="29" spans="1:14" x14ac:dyDescent="0.25">
      <c r="A29" s="3" t="s">
        <v>59</v>
      </c>
      <c r="B29" s="3">
        <v>17</v>
      </c>
      <c r="C29" s="3">
        <v>542</v>
      </c>
      <c r="D29" s="3">
        <v>11</v>
      </c>
      <c r="E29" s="3">
        <v>4</v>
      </c>
      <c r="F29" s="3">
        <f t="shared" si="12"/>
        <v>1.4505119453924915</v>
      </c>
      <c r="G29" s="4">
        <f t="shared" si="13"/>
        <v>1.9234864078359004</v>
      </c>
      <c r="I29" s="3" t="s">
        <v>59</v>
      </c>
      <c r="J29" s="3">
        <f t="shared" si="14"/>
        <v>0.37777777777777777</v>
      </c>
      <c r="K29" s="3">
        <f t="shared" si="15"/>
        <v>0.1602602010644589</v>
      </c>
      <c r="L29" s="3">
        <f t="shared" si="16"/>
        <v>0.36666666666666664</v>
      </c>
      <c r="M29" s="3">
        <f t="shared" si="17"/>
        <v>0.17391304347826086</v>
      </c>
      <c r="N29" s="4">
        <f ca="1">SUM(J29:N29)</f>
        <v>1.0786176889871641</v>
      </c>
    </row>
    <row r="30" spans="1:14" x14ac:dyDescent="0.25">
      <c r="A30" s="3" t="s">
        <v>60</v>
      </c>
      <c r="B30" s="3">
        <v>16</v>
      </c>
      <c r="C30" s="3">
        <v>630</v>
      </c>
      <c r="D30" s="3">
        <v>13</v>
      </c>
      <c r="E30" s="3">
        <v>5</v>
      </c>
      <c r="F30" s="3">
        <f t="shared" si="12"/>
        <v>1.3651877133105803</v>
      </c>
      <c r="G30" s="4">
        <f t="shared" si="13"/>
        <v>2.2357867840158989</v>
      </c>
      <c r="I30" s="3" t="s">
        <v>60</v>
      </c>
      <c r="J30" s="3">
        <f t="shared" si="14"/>
        <v>0.35555555555555557</v>
      </c>
      <c r="K30" s="3">
        <f t="shared" si="15"/>
        <v>0.18628030751034891</v>
      </c>
      <c r="L30" s="3">
        <f t="shared" si="16"/>
        <v>0.43333333333333335</v>
      </c>
      <c r="M30" s="3">
        <f t="shared" si="17"/>
        <v>0.21739130434782608</v>
      </c>
      <c r="N30" s="4">
        <f ca="1">SUM(J30:O30)</f>
        <v>1.1925605007470639</v>
      </c>
    </row>
    <row r="31" spans="1:14" x14ac:dyDescent="0.25">
      <c r="A31" s="3" t="s">
        <v>61</v>
      </c>
      <c r="B31" s="3">
        <v>15</v>
      </c>
      <c r="C31" s="3">
        <v>386</v>
      </c>
      <c r="D31" s="3">
        <v>9</v>
      </c>
      <c r="E31" s="3">
        <v>3</v>
      </c>
      <c r="F31" s="3">
        <f t="shared" si="12"/>
        <v>1.2798634812286689</v>
      </c>
      <c r="G31" s="4">
        <f t="shared" si="13"/>
        <v>1.3698630136986301</v>
      </c>
      <c r="I31" s="3" t="s">
        <v>61</v>
      </c>
      <c r="J31" s="3">
        <f t="shared" si="14"/>
        <v>0.33333333333333331</v>
      </c>
      <c r="K31" s="3">
        <f t="shared" si="15"/>
        <v>0.11413364872856298</v>
      </c>
      <c r="L31" s="3">
        <f t="shared" si="16"/>
        <v>0.3</v>
      </c>
      <c r="M31" s="3">
        <f t="shared" si="17"/>
        <v>0.13043478260869565</v>
      </c>
      <c r="N31" s="4">
        <f ca="1">SUM(J31:O31)</f>
        <v>0.87790176467059189</v>
      </c>
    </row>
    <row r="32" spans="1:14" x14ac:dyDescent="0.25">
      <c r="A32" s="5"/>
      <c r="B32" s="5">
        <f t="shared" ref="B32:G32" si="18">MAX(B22:B31)</f>
        <v>45</v>
      </c>
      <c r="C32" s="5">
        <f t="shared" si="18"/>
        <v>3382</v>
      </c>
      <c r="D32" s="5">
        <f t="shared" si="18"/>
        <v>30</v>
      </c>
      <c r="E32" s="5">
        <f t="shared" si="18"/>
        <v>23</v>
      </c>
      <c r="F32" s="3">
        <f t="shared" si="18"/>
        <v>3.8395904436860069</v>
      </c>
      <c r="G32" s="6">
        <f t="shared" si="18"/>
        <v>12.002271275463126</v>
      </c>
    </row>
    <row r="36" spans="1:15" x14ac:dyDescent="0.25">
      <c r="A36" s="8" t="s">
        <v>32</v>
      </c>
      <c r="B36" s="8" t="s">
        <v>33</v>
      </c>
      <c r="C36" s="8" t="s">
        <v>34</v>
      </c>
      <c r="D36" s="8" t="s">
        <v>35</v>
      </c>
      <c r="E36" s="8" t="s">
        <v>36</v>
      </c>
      <c r="F36" s="8" t="s">
        <v>37</v>
      </c>
      <c r="G36" s="9" t="s">
        <v>38</v>
      </c>
      <c r="I36" s="8" t="s">
        <v>32</v>
      </c>
      <c r="J36" s="8" t="s">
        <v>87</v>
      </c>
      <c r="K36" s="8" t="s">
        <v>34</v>
      </c>
      <c r="L36" s="8" t="s">
        <v>83</v>
      </c>
      <c r="M36" s="8" t="s">
        <v>86</v>
      </c>
      <c r="N36" s="8" t="s">
        <v>37</v>
      </c>
      <c r="O36" s="8" t="s">
        <v>51</v>
      </c>
    </row>
    <row r="37" spans="1:15" x14ac:dyDescent="0.25">
      <c r="A37" s="8" t="s">
        <v>62</v>
      </c>
      <c r="B37" s="8">
        <v>114</v>
      </c>
      <c r="C37" s="8">
        <v>1421</v>
      </c>
      <c r="D37" s="8">
        <v>4</v>
      </c>
      <c r="E37" s="8">
        <v>20</v>
      </c>
      <c r="F37" s="8">
        <v>3.3</v>
      </c>
      <c r="G37" s="9">
        <f>B37*100/1172</f>
        <v>9.7269624573378834</v>
      </c>
      <c r="I37" s="8" t="s">
        <v>62</v>
      </c>
      <c r="J37" s="8">
        <f>B37/$B$47</f>
        <v>1</v>
      </c>
      <c r="K37" s="8">
        <f>C37/$C$47</f>
        <v>0.62544014084507038</v>
      </c>
      <c r="L37" s="8">
        <f>D37/$D$47</f>
        <v>0.26666666666666666</v>
      </c>
      <c r="M37" s="8">
        <f>E37/$E$47</f>
        <v>0.8</v>
      </c>
      <c r="N37" s="8">
        <f>F37/$F$47</f>
        <v>0.27499999999999997</v>
      </c>
      <c r="O37" s="8">
        <f>SUM(J37:N37)</f>
        <v>2.9671068075117373</v>
      </c>
    </row>
    <row r="38" spans="1:15" x14ac:dyDescent="0.25">
      <c r="A38" s="8" t="s">
        <v>64</v>
      </c>
      <c r="B38" s="8">
        <v>106</v>
      </c>
      <c r="C38" s="8">
        <v>2272</v>
      </c>
      <c r="D38" s="8">
        <v>9</v>
      </c>
      <c r="E38" s="8">
        <v>25</v>
      </c>
      <c r="F38" s="8">
        <v>3.9</v>
      </c>
      <c r="G38" s="9">
        <f t="shared" ref="G38:G46" si="19">B38*100/1172</f>
        <v>9.0443686006825939</v>
      </c>
      <c r="I38" s="8" t="s">
        <v>74</v>
      </c>
      <c r="J38" s="8">
        <f t="shared" ref="J38:J46" si="20">B38/$B$47</f>
        <v>0.92982456140350878</v>
      </c>
      <c r="K38" s="8">
        <f t="shared" ref="K38:K46" si="21">C38/$C$47</f>
        <v>1</v>
      </c>
      <c r="L38" s="8">
        <f t="shared" ref="L38:L46" si="22">D38/$D$47</f>
        <v>0.6</v>
      </c>
      <c r="M38" s="8">
        <f t="shared" ref="M38:M46" si="23">E38/$E$47</f>
        <v>1</v>
      </c>
      <c r="N38" s="8">
        <f t="shared" ref="N38:N46" si="24">F38/$F$47</f>
        <v>0.32500000000000001</v>
      </c>
      <c r="O38" s="8">
        <f t="shared" ref="O38:O46" si="25">SUM(J38:N38)</f>
        <v>3.8548245614035088</v>
      </c>
    </row>
    <row r="39" spans="1:15" x14ac:dyDescent="0.25">
      <c r="A39" s="8" t="s">
        <v>63</v>
      </c>
      <c r="B39" s="8">
        <v>51</v>
      </c>
      <c r="C39" s="8">
        <v>1899</v>
      </c>
      <c r="D39" s="8">
        <v>15</v>
      </c>
      <c r="E39" s="8">
        <v>23</v>
      </c>
      <c r="F39" s="8">
        <v>7.7</v>
      </c>
      <c r="G39" s="9">
        <f t="shared" si="19"/>
        <v>4.3515358361774741</v>
      </c>
      <c r="I39" s="8" t="s">
        <v>63</v>
      </c>
      <c r="J39" s="8">
        <f t="shared" si="20"/>
        <v>0.44736842105263158</v>
      </c>
      <c r="K39" s="8">
        <f t="shared" si="21"/>
        <v>0.83582746478873238</v>
      </c>
      <c r="L39" s="8">
        <f t="shared" si="22"/>
        <v>1</v>
      </c>
      <c r="M39" s="8">
        <f t="shared" si="23"/>
        <v>0.92</v>
      </c>
      <c r="N39" s="8">
        <f t="shared" si="24"/>
        <v>0.64166666666666672</v>
      </c>
      <c r="O39" s="8">
        <f t="shared" si="25"/>
        <v>3.8448625525080304</v>
      </c>
    </row>
    <row r="40" spans="1:15" x14ac:dyDescent="0.25">
      <c r="A40" s="8" t="s">
        <v>65</v>
      </c>
      <c r="B40" s="8">
        <v>39</v>
      </c>
      <c r="C40" s="8">
        <v>1866</v>
      </c>
      <c r="D40" s="8">
        <v>12</v>
      </c>
      <c r="E40" s="8">
        <v>22</v>
      </c>
      <c r="F40" s="8">
        <v>10</v>
      </c>
      <c r="G40" s="9">
        <f t="shared" si="19"/>
        <v>3.3276450511945392</v>
      </c>
      <c r="I40" s="8" t="s">
        <v>65</v>
      </c>
      <c r="J40" s="8">
        <f t="shared" si="20"/>
        <v>0.34210526315789475</v>
      </c>
      <c r="K40" s="8">
        <f t="shared" si="21"/>
        <v>0.82130281690140849</v>
      </c>
      <c r="L40" s="8">
        <f t="shared" si="22"/>
        <v>0.8</v>
      </c>
      <c r="M40" s="8">
        <f t="shared" si="23"/>
        <v>0.88</v>
      </c>
      <c r="N40" s="8">
        <f t="shared" si="24"/>
        <v>0.83333333333333337</v>
      </c>
      <c r="O40" s="8">
        <f t="shared" si="25"/>
        <v>3.6767414133926368</v>
      </c>
    </row>
    <row r="41" spans="1:15" x14ac:dyDescent="0.25">
      <c r="A41" s="8" t="s">
        <v>66</v>
      </c>
      <c r="B41" s="8">
        <v>32</v>
      </c>
      <c r="C41" s="8">
        <v>953</v>
      </c>
      <c r="D41" s="8">
        <v>9</v>
      </c>
      <c r="E41" s="8">
        <v>18</v>
      </c>
      <c r="F41" s="8">
        <v>5.3</v>
      </c>
      <c r="G41" s="9">
        <f t="shared" si="19"/>
        <v>2.7303754266211606</v>
      </c>
      <c r="I41" s="8" t="s">
        <v>66</v>
      </c>
      <c r="J41" s="8">
        <f t="shared" si="20"/>
        <v>0.2807017543859649</v>
      </c>
      <c r="K41" s="8">
        <f t="shared" si="21"/>
        <v>0.41945422535211269</v>
      </c>
      <c r="L41" s="8">
        <f t="shared" si="22"/>
        <v>0.6</v>
      </c>
      <c r="M41" s="8">
        <f t="shared" si="23"/>
        <v>0.72</v>
      </c>
      <c r="N41" s="8">
        <f t="shared" si="24"/>
        <v>0.44166666666666665</v>
      </c>
      <c r="O41" s="8">
        <f t="shared" si="25"/>
        <v>2.4618226464047437</v>
      </c>
    </row>
    <row r="42" spans="1:15" x14ac:dyDescent="0.25">
      <c r="A42" s="8" t="s">
        <v>67</v>
      </c>
      <c r="B42" s="8">
        <v>26</v>
      </c>
      <c r="C42" s="8">
        <v>586</v>
      </c>
      <c r="D42" s="8">
        <v>3</v>
      </c>
      <c r="E42" s="8">
        <v>15</v>
      </c>
      <c r="F42" s="8">
        <v>12</v>
      </c>
      <c r="G42" s="9">
        <f t="shared" si="19"/>
        <v>2.218430034129693</v>
      </c>
      <c r="I42" s="8" t="s">
        <v>67</v>
      </c>
      <c r="J42" s="8">
        <f t="shared" si="20"/>
        <v>0.22807017543859648</v>
      </c>
      <c r="K42" s="8">
        <f t="shared" si="21"/>
        <v>0.25792253521126762</v>
      </c>
      <c r="L42" s="8">
        <f t="shared" si="22"/>
        <v>0.2</v>
      </c>
      <c r="M42" s="8">
        <f t="shared" si="23"/>
        <v>0.6</v>
      </c>
      <c r="N42" s="8">
        <f t="shared" si="24"/>
        <v>1</v>
      </c>
      <c r="O42" s="8">
        <f t="shared" si="25"/>
        <v>2.2859927106498641</v>
      </c>
    </row>
    <row r="43" spans="1:15" x14ac:dyDescent="0.25">
      <c r="A43" s="8" t="s">
        <v>68</v>
      </c>
      <c r="B43" s="8">
        <v>24</v>
      </c>
      <c r="C43" s="8">
        <v>1176</v>
      </c>
      <c r="D43" s="8">
        <v>11</v>
      </c>
      <c r="E43" s="8">
        <v>17</v>
      </c>
      <c r="F43" s="8">
        <v>6.8</v>
      </c>
      <c r="G43" s="9">
        <f t="shared" si="19"/>
        <v>2.0477815699658701</v>
      </c>
      <c r="I43" s="8" t="s">
        <v>68</v>
      </c>
      <c r="J43" s="8">
        <f t="shared" si="20"/>
        <v>0.21052631578947367</v>
      </c>
      <c r="K43" s="8">
        <f t="shared" si="21"/>
        <v>0.51760563380281688</v>
      </c>
      <c r="L43" s="8">
        <f t="shared" si="22"/>
        <v>0.73333333333333328</v>
      </c>
      <c r="M43" s="8">
        <f t="shared" si="23"/>
        <v>0.68</v>
      </c>
      <c r="N43" s="8">
        <f t="shared" si="24"/>
        <v>0.56666666666666665</v>
      </c>
      <c r="O43" s="8">
        <f t="shared" si="25"/>
        <v>2.7081319495922909</v>
      </c>
    </row>
    <row r="44" spans="1:15" x14ac:dyDescent="0.25">
      <c r="A44" s="8" t="s">
        <v>69</v>
      </c>
      <c r="B44" s="8">
        <v>21</v>
      </c>
      <c r="C44" s="8">
        <v>199</v>
      </c>
      <c r="D44" s="8">
        <v>0</v>
      </c>
      <c r="E44" s="8">
        <v>8</v>
      </c>
      <c r="F44" s="8">
        <v>3.2</v>
      </c>
      <c r="G44" s="9">
        <f t="shared" si="19"/>
        <v>1.7918088737201365</v>
      </c>
      <c r="I44" s="8" t="s">
        <v>69</v>
      </c>
      <c r="J44" s="8">
        <f t="shared" si="20"/>
        <v>0.18421052631578946</v>
      </c>
      <c r="K44" s="8">
        <f t="shared" si="21"/>
        <v>8.7588028169014079E-2</v>
      </c>
      <c r="L44" s="8">
        <f t="shared" si="22"/>
        <v>0</v>
      </c>
      <c r="M44" s="8">
        <f t="shared" si="23"/>
        <v>0.32</v>
      </c>
      <c r="N44" s="8">
        <f t="shared" si="24"/>
        <v>0.26666666666666666</v>
      </c>
      <c r="O44" s="8">
        <f t="shared" si="25"/>
        <v>0.85846522115147028</v>
      </c>
    </row>
    <row r="45" spans="1:15" x14ac:dyDescent="0.25">
      <c r="A45" s="8" t="s">
        <v>70</v>
      </c>
      <c r="B45" s="8">
        <v>19</v>
      </c>
      <c r="C45" s="8">
        <v>341</v>
      </c>
      <c r="D45" s="8">
        <v>2</v>
      </c>
      <c r="E45" s="8">
        <v>10</v>
      </c>
      <c r="F45" s="8">
        <v>1.8</v>
      </c>
      <c r="G45" s="9">
        <f t="shared" si="19"/>
        <v>1.6211604095563139</v>
      </c>
      <c r="I45" s="8" t="s">
        <v>70</v>
      </c>
      <c r="J45" s="8">
        <f t="shared" si="20"/>
        <v>0.16666666666666666</v>
      </c>
      <c r="K45" s="8">
        <f t="shared" si="21"/>
        <v>0.15008802816901409</v>
      </c>
      <c r="L45" s="8">
        <f t="shared" si="22"/>
        <v>0.13333333333333333</v>
      </c>
      <c r="M45" s="8">
        <f t="shared" si="23"/>
        <v>0.4</v>
      </c>
      <c r="N45" s="8">
        <f t="shared" si="24"/>
        <v>0.15</v>
      </c>
      <c r="O45" s="8">
        <f t="shared" si="25"/>
        <v>1.0000880281690141</v>
      </c>
    </row>
    <row r="46" spans="1:15" x14ac:dyDescent="0.25">
      <c r="A46" s="8" t="s">
        <v>71</v>
      </c>
      <c r="B46" s="8">
        <v>18</v>
      </c>
      <c r="C46" s="8">
        <v>910</v>
      </c>
      <c r="D46" s="8">
        <v>8</v>
      </c>
      <c r="E46" s="8">
        <v>15</v>
      </c>
      <c r="F46" s="8">
        <v>9.1999999999999993</v>
      </c>
      <c r="G46" s="9">
        <f t="shared" si="19"/>
        <v>1.5358361774744027</v>
      </c>
      <c r="I46" s="8" t="s">
        <v>71</v>
      </c>
      <c r="J46" s="8">
        <f t="shared" si="20"/>
        <v>0.15789473684210525</v>
      </c>
      <c r="K46" s="8">
        <f t="shared" si="21"/>
        <v>0.4005281690140845</v>
      </c>
      <c r="L46" s="8">
        <f t="shared" si="22"/>
        <v>0.53333333333333333</v>
      </c>
      <c r="M46" s="8">
        <f t="shared" si="23"/>
        <v>0.6</v>
      </c>
      <c r="N46" s="8">
        <f t="shared" si="24"/>
        <v>0.76666666666666661</v>
      </c>
      <c r="O46" s="8">
        <f t="shared" si="25"/>
        <v>2.4584229058561897</v>
      </c>
    </row>
    <row r="47" spans="1:15" x14ac:dyDescent="0.25">
      <c r="B47">
        <f t="shared" ref="B47:G47" si="26">MAX(B37:B46)</f>
        <v>114</v>
      </c>
      <c r="C47">
        <f t="shared" si="26"/>
        <v>2272</v>
      </c>
      <c r="D47">
        <f t="shared" si="26"/>
        <v>15</v>
      </c>
      <c r="E47">
        <f t="shared" si="26"/>
        <v>25</v>
      </c>
      <c r="F47">
        <f t="shared" si="26"/>
        <v>12</v>
      </c>
      <c r="G47" s="7">
        <f t="shared" si="26"/>
        <v>9.7269624573378834</v>
      </c>
    </row>
    <row r="48" spans="1:15" x14ac:dyDescent="0.25">
      <c r="G48" s="7"/>
    </row>
    <row r="49" spans="1:17" x14ac:dyDescent="0.25">
      <c r="G49" s="7"/>
    </row>
    <row r="51" spans="1:17" x14ac:dyDescent="0.25">
      <c r="A51" s="10" t="s">
        <v>39</v>
      </c>
      <c r="B51" s="10" t="s">
        <v>40</v>
      </c>
      <c r="C51" s="10" t="s">
        <v>41</v>
      </c>
      <c r="D51" s="10" t="s">
        <v>24</v>
      </c>
      <c r="E51" s="10" t="s">
        <v>25</v>
      </c>
      <c r="F51" s="10" t="s">
        <v>42</v>
      </c>
      <c r="G51" s="10" t="s">
        <v>43</v>
      </c>
      <c r="J51" s="10" t="s">
        <v>75</v>
      </c>
      <c r="K51" s="10" t="s">
        <v>84</v>
      </c>
      <c r="L51" s="10" t="s">
        <v>82</v>
      </c>
      <c r="M51" s="10" t="s">
        <v>76</v>
      </c>
      <c r="N51" s="10" t="s">
        <v>83</v>
      </c>
      <c r="O51" s="10" t="s">
        <v>85</v>
      </c>
      <c r="P51" s="10" t="s">
        <v>77</v>
      </c>
      <c r="Q51" s="10" t="s">
        <v>51</v>
      </c>
    </row>
    <row r="52" spans="1:17" x14ac:dyDescent="0.25">
      <c r="A52" s="12" t="s">
        <v>44</v>
      </c>
      <c r="B52" s="13">
        <v>28</v>
      </c>
      <c r="C52" s="13">
        <v>1037</v>
      </c>
      <c r="D52" s="13">
        <v>20</v>
      </c>
      <c r="E52" s="13">
        <v>8</v>
      </c>
      <c r="F52" s="13">
        <v>4</v>
      </c>
      <c r="G52" s="13">
        <v>955</v>
      </c>
      <c r="J52" s="12" t="s">
        <v>44</v>
      </c>
      <c r="K52" s="10">
        <f>B52/$B$62</f>
        <v>1</v>
      </c>
      <c r="L52" s="10">
        <f>C52/$C$62</f>
        <v>1</v>
      </c>
      <c r="M52" s="10">
        <f>D52/$D$62</f>
        <v>1</v>
      </c>
      <c r="N52" s="10">
        <f>E52/$E$62</f>
        <v>1</v>
      </c>
      <c r="O52" s="10">
        <f>F52/$F$62</f>
        <v>0.25</v>
      </c>
      <c r="P52" s="10">
        <f>G52/$G$62</f>
        <v>1</v>
      </c>
      <c r="Q52" s="10">
        <f>SUM(K52:P52)</f>
        <v>5.25</v>
      </c>
    </row>
    <row r="53" spans="1:17" x14ac:dyDescent="0.25">
      <c r="A53" s="12" t="s">
        <v>45</v>
      </c>
      <c r="B53" s="13">
        <v>23</v>
      </c>
      <c r="C53" s="13">
        <v>844</v>
      </c>
      <c r="D53" s="13">
        <v>16</v>
      </c>
      <c r="E53" s="13">
        <v>5</v>
      </c>
      <c r="F53" s="13">
        <v>0</v>
      </c>
      <c r="G53" s="13">
        <v>820</v>
      </c>
      <c r="J53" s="12" t="s">
        <v>45</v>
      </c>
      <c r="K53" s="10">
        <f t="shared" ref="K53:K61" si="27">B53/$B$62</f>
        <v>0.8214285714285714</v>
      </c>
      <c r="L53" s="10">
        <f t="shared" ref="L53:L61" si="28">C53/$C$62</f>
        <v>0.81388621022179364</v>
      </c>
      <c r="M53" s="10">
        <f t="shared" ref="M53:M61" si="29">D53/$D$62</f>
        <v>0.8</v>
      </c>
      <c r="N53" s="10">
        <f t="shared" ref="N53:N61" si="30">E53/$E$62</f>
        <v>0.625</v>
      </c>
      <c r="O53" s="10">
        <f t="shared" ref="O53:O61" si="31">F53/$F$62</f>
        <v>0</v>
      </c>
      <c r="P53" s="10">
        <f t="shared" ref="P53:P61" si="32">G53/$G$62</f>
        <v>0.8586387434554974</v>
      </c>
      <c r="Q53" s="10">
        <f t="shared" ref="Q53:Q61" si="33">SUM(K53:P53)</f>
        <v>3.918953525105862</v>
      </c>
    </row>
    <row r="54" spans="1:17" ht="30" x14ac:dyDescent="0.25">
      <c r="A54" s="12" t="s">
        <v>49</v>
      </c>
      <c r="B54" s="13">
        <v>19</v>
      </c>
      <c r="C54" s="13">
        <v>248</v>
      </c>
      <c r="D54" s="13">
        <v>9</v>
      </c>
      <c r="E54" s="13">
        <v>0</v>
      </c>
      <c r="F54" s="13">
        <v>16</v>
      </c>
      <c r="G54" s="13">
        <v>226</v>
      </c>
      <c r="J54" s="12" t="s">
        <v>49</v>
      </c>
      <c r="K54" s="10">
        <f t="shared" si="27"/>
        <v>0.6785714285714286</v>
      </c>
      <c r="L54" s="10">
        <f t="shared" si="28"/>
        <v>0.23915139826422371</v>
      </c>
      <c r="M54" s="10">
        <f t="shared" si="29"/>
        <v>0.45</v>
      </c>
      <c r="N54" s="10">
        <f t="shared" si="30"/>
        <v>0</v>
      </c>
      <c r="O54" s="10">
        <f t="shared" si="31"/>
        <v>1</v>
      </c>
      <c r="P54" s="10">
        <f t="shared" si="32"/>
        <v>0.23664921465968586</v>
      </c>
      <c r="Q54" s="10">
        <f t="shared" si="33"/>
        <v>2.604372041495338</v>
      </c>
    </row>
    <row r="55" spans="1:17" x14ac:dyDescent="0.25">
      <c r="A55" s="12" t="s">
        <v>48</v>
      </c>
      <c r="B55" s="13">
        <v>12</v>
      </c>
      <c r="C55" s="13">
        <v>463</v>
      </c>
      <c r="D55" s="13">
        <v>11</v>
      </c>
      <c r="E55" s="13">
        <v>4</v>
      </c>
      <c r="F55" s="13">
        <v>7</v>
      </c>
      <c r="G55" s="13">
        <v>440</v>
      </c>
      <c r="J55" s="12" t="s">
        <v>48</v>
      </c>
      <c r="K55" s="10">
        <f t="shared" si="27"/>
        <v>0.42857142857142855</v>
      </c>
      <c r="L55" s="10">
        <f t="shared" si="28"/>
        <v>0.44648023143683702</v>
      </c>
      <c r="M55" s="10">
        <f t="shared" si="29"/>
        <v>0.55000000000000004</v>
      </c>
      <c r="N55" s="10">
        <f t="shared" si="30"/>
        <v>0.5</v>
      </c>
      <c r="O55" s="10">
        <f t="shared" si="31"/>
        <v>0.4375</v>
      </c>
      <c r="P55" s="10">
        <f t="shared" si="32"/>
        <v>0.4607329842931937</v>
      </c>
      <c r="Q55" s="10">
        <f t="shared" si="33"/>
        <v>2.8232846443014594</v>
      </c>
    </row>
    <row r="56" spans="1:17" x14ac:dyDescent="0.25">
      <c r="A56" s="12" t="s">
        <v>46</v>
      </c>
      <c r="B56" s="13">
        <v>10</v>
      </c>
      <c r="C56" s="13">
        <v>373</v>
      </c>
      <c r="D56" s="13">
        <v>8</v>
      </c>
      <c r="E56" s="13">
        <v>3</v>
      </c>
      <c r="F56" s="13">
        <v>5</v>
      </c>
      <c r="G56" s="13">
        <v>372</v>
      </c>
      <c r="J56" s="12" t="s">
        <v>46</v>
      </c>
      <c r="K56" s="10">
        <f t="shared" si="27"/>
        <v>0.35714285714285715</v>
      </c>
      <c r="L56" s="10">
        <f t="shared" si="28"/>
        <v>0.35969141755062684</v>
      </c>
      <c r="M56" s="10">
        <f t="shared" si="29"/>
        <v>0.4</v>
      </c>
      <c r="N56" s="10">
        <f t="shared" si="30"/>
        <v>0.375</v>
      </c>
      <c r="O56" s="10">
        <f t="shared" si="31"/>
        <v>0.3125</v>
      </c>
      <c r="P56" s="10">
        <f t="shared" si="32"/>
        <v>0.38952879581151834</v>
      </c>
      <c r="Q56" s="10">
        <f t="shared" si="33"/>
        <v>2.1938630705050022</v>
      </c>
    </row>
    <row r="57" spans="1:17" x14ac:dyDescent="0.25">
      <c r="A57" s="12" t="s">
        <v>78</v>
      </c>
      <c r="B57" s="13">
        <v>9</v>
      </c>
      <c r="C57" s="13">
        <v>330</v>
      </c>
      <c r="D57" s="13">
        <v>9</v>
      </c>
      <c r="E57" s="13">
        <v>2</v>
      </c>
      <c r="F57" s="13">
        <v>7</v>
      </c>
      <c r="G57" s="13">
        <v>321</v>
      </c>
      <c r="J57" s="12" t="s">
        <v>78</v>
      </c>
      <c r="K57" s="10">
        <f t="shared" si="27"/>
        <v>0.32142857142857145</v>
      </c>
      <c r="L57" s="10">
        <f t="shared" si="28"/>
        <v>0.31822565091610416</v>
      </c>
      <c r="M57" s="10">
        <f t="shared" si="29"/>
        <v>0.45</v>
      </c>
      <c r="N57" s="10">
        <f t="shared" si="30"/>
        <v>0.25</v>
      </c>
      <c r="O57" s="10">
        <f t="shared" si="31"/>
        <v>0.4375</v>
      </c>
      <c r="P57" s="10">
        <f t="shared" si="32"/>
        <v>0.33612565445026177</v>
      </c>
      <c r="Q57" s="10">
        <f t="shared" si="33"/>
        <v>2.1132798767949375</v>
      </c>
    </row>
    <row r="58" spans="1:17" ht="30" x14ac:dyDescent="0.25">
      <c r="A58" s="12" t="s">
        <v>79</v>
      </c>
      <c r="B58" s="13">
        <v>9</v>
      </c>
      <c r="C58" s="13">
        <v>78</v>
      </c>
      <c r="D58" s="13">
        <v>4</v>
      </c>
      <c r="E58" s="13">
        <v>0</v>
      </c>
      <c r="F58" s="13">
        <v>3</v>
      </c>
      <c r="G58" s="13">
        <v>77</v>
      </c>
      <c r="J58" s="12" t="s">
        <v>79</v>
      </c>
      <c r="K58" s="10">
        <f t="shared" si="27"/>
        <v>0.32142857142857145</v>
      </c>
      <c r="L58" s="10">
        <f t="shared" si="28"/>
        <v>7.5216972034715529E-2</v>
      </c>
      <c r="M58" s="10">
        <f t="shared" si="29"/>
        <v>0.2</v>
      </c>
      <c r="N58" s="10">
        <f t="shared" si="30"/>
        <v>0</v>
      </c>
      <c r="O58" s="10">
        <f t="shared" si="31"/>
        <v>0.1875</v>
      </c>
      <c r="P58" s="10">
        <f t="shared" si="32"/>
        <v>8.0628272251308905E-2</v>
      </c>
      <c r="Q58" s="10">
        <f t="shared" si="33"/>
        <v>0.86477381571459577</v>
      </c>
    </row>
    <row r="59" spans="1:17" ht="30" x14ac:dyDescent="0.25">
      <c r="A59" s="12" t="s">
        <v>47</v>
      </c>
      <c r="B59" s="13">
        <v>8</v>
      </c>
      <c r="C59" s="13">
        <v>676</v>
      </c>
      <c r="D59" s="13">
        <v>8</v>
      </c>
      <c r="E59" s="13">
        <v>5</v>
      </c>
      <c r="F59" s="13">
        <v>5</v>
      </c>
      <c r="G59" s="13">
        <v>669</v>
      </c>
      <c r="J59" s="12" t="s">
        <v>47</v>
      </c>
      <c r="K59" s="10">
        <f t="shared" si="27"/>
        <v>0.2857142857142857</v>
      </c>
      <c r="L59" s="10">
        <f t="shared" si="28"/>
        <v>0.6518804243008679</v>
      </c>
      <c r="M59" s="10">
        <f t="shared" si="29"/>
        <v>0.4</v>
      </c>
      <c r="N59" s="10">
        <f t="shared" si="30"/>
        <v>0.625</v>
      </c>
      <c r="O59" s="10">
        <f t="shared" si="31"/>
        <v>0.3125</v>
      </c>
      <c r="P59" s="10">
        <f t="shared" si="32"/>
        <v>0.70052356020942408</v>
      </c>
      <c r="Q59" s="10">
        <f t="shared" si="33"/>
        <v>2.9756182702245777</v>
      </c>
    </row>
    <row r="60" spans="1:17" ht="30" x14ac:dyDescent="0.25">
      <c r="A60" s="12" t="s">
        <v>50</v>
      </c>
      <c r="B60" s="13">
        <v>8</v>
      </c>
      <c r="C60" s="13">
        <v>638</v>
      </c>
      <c r="D60" s="13">
        <v>7</v>
      </c>
      <c r="E60" s="13">
        <v>3</v>
      </c>
      <c r="F60" s="13">
        <v>1</v>
      </c>
      <c r="G60" s="13">
        <v>633</v>
      </c>
      <c r="J60" s="12" t="s">
        <v>50</v>
      </c>
      <c r="K60" s="10">
        <f t="shared" si="27"/>
        <v>0.2857142857142857</v>
      </c>
      <c r="L60" s="10">
        <f t="shared" si="28"/>
        <v>0.61523625843780139</v>
      </c>
      <c r="M60" s="10">
        <f t="shared" si="29"/>
        <v>0.35</v>
      </c>
      <c r="N60" s="10">
        <f t="shared" si="30"/>
        <v>0.375</v>
      </c>
      <c r="O60" s="10">
        <f t="shared" si="31"/>
        <v>6.25E-2</v>
      </c>
      <c r="P60" s="10">
        <f t="shared" si="32"/>
        <v>0.6628272251308901</v>
      </c>
      <c r="Q60" s="10">
        <f t="shared" si="33"/>
        <v>2.3512777692829769</v>
      </c>
    </row>
    <row r="61" spans="1:17" ht="30.75" thickBot="1" x14ac:dyDescent="0.3">
      <c r="A61" s="14" t="s">
        <v>80</v>
      </c>
      <c r="B61" s="15">
        <v>8</v>
      </c>
      <c r="C61" s="15">
        <v>140</v>
      </c>
      <c r="D61" s="15">
        <v>6</v>
      </c>
      <c r="E61" s="15">
        <v>0</v>
      </c>
      <c r="F61" s="15">
        <v>1</v>
      </c>
      <c r="G61" s="15">
        <v>132</v>
      </c>
      <c r="J61" s="14" t="s">
        <v>80</v>
      </c>
      <c r="K61" s="10">
        <f t="shared" si="27"/>
        <v>0.2857142857142857</v>
      </c>
      <c r="L61" s="10">
        <f t="shared" si="28"/>
        <v>0.13500482160077146</v>
      </c>
      <c r="M61" s="10">
        <f t="shared" si="29"/>
        <v>0.3</v>
      </c>
      <c r="N61" s="10">
        <f t="shared" si="30"/>
        <v>0</v>
      </c>
      <c r="O61" s="10">
        <f t="shared" si="31"/>
        <v>6.25E-2</v>
      </c>
      <c r="P61" s="10">
        <f t="shared" si="32"/>
        <v>0.13821989528795811</v>
      </c>
      <c r="Q61" s="10">
        <f t="shared" si="33"/>
        <v>0.92143900260301526</v>
      </c>
    </row>
    <row r="62" spans="1:17" x14ac:dyDescent="0.25">
      <c r="B62">
        <f t="shared" ref="B62:G62" si="34">MAX(B52:B61)</f>
        <v>28</v>
      </c>
      <c r="C62">
        <f t="shared" si="34"/>
        <v>1037</v>
      </c>
      <c r="D62">
        <f t="shared" si="34"/>
        <v>20</v>
      </c>
      <c r="E62">
        <f t="shared" si="34"/>
        <v>8</v>
      </c>
      <c r="F62">
        <f t="shared" si="34"/>
        <v>16</v>
      </c>
      <c r="G62">
        <f t="shared" si="34"/>
        <v>955</v>
      </c>
    </row>
    <row r="70" ht="15.75" customHeight="1" x14ac:dyDescent="0.25"/>
    <row r="74" ht="12" customHeight="1" x14ac:dyDescent="0.25"/>
    <row r="75" ht="15" customHeight="1" x14ac:dyDescent="0.25"/>
    <row r="76" ht="15.75" customHeight="1" x14ac:dyDescent="0.25"/>
    <row r="77" ht="11.25" customHeight="1" x14ac:dyDescent="0.25"/>
  </sheetData>
  <mergeCells count="4">
    <mergeCell ref="E2:F2"/>
    <mergeCell ref="G2:I2"/>
    <mergeCell ref="P2:Q2"/>
    <mergeCell ref="R2:T2"/>
  </mergeCells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2026-06-15T12:55:19Z</dcterms:created>
  <dcterms:modified xsi:type="dcterms:W3CDTF">2026-06-15T12:55:47Z</dcterms:modified>
</cp:coreProperties>
</file>